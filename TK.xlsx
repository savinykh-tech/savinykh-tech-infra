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template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\\corp.servionica.ru\dfs\Departments\ДВИ\Projects\Отдел сервисной поддержки\Отдел УИК\18.Шаблоны\Обновленные шаблоны по отчетке\"/>
    </mc:Choice>
  </mc:AlternateContent>
  <bookViews>
    <workbookView xWindow="0" yWindow="0" windowWidth="24630" windowHeight="16230"/>
  </bookViews>
  <sheets>
    <sheet name="ПЛ-ТК" sheetId="1" r:id="rId1"/>
    <sheet name="СЗ-ТК" sheetId="2" r:id="rId2"/>
    <sheet name="Отчет по ТК " sheetId="8" r:id="rId3"/>
    <sheet name="Список проектов" sheetId="9" r:id="rId4"/>
    <sheet name="СЗ-Нал" sheetId="10" state="hidden" r:id="rId5"/>
  </sheets>
  <definedNames>
    <definedName name="_xlnm._FilterDatabase" localSheetId="0" hidden="1">'ПЛ-ТК'!$A$10:$AI$45</definedName>
    <definedName name="_xlnm._FilterDatabase" localSheetId="3" hidden="1">'Список проектов'!$A$1:$B$1</definedName>
    <definedName name="№10_Ю_82_2018_0172_АТ_СРВ_от_27.02.2018" localSheetId="1">'СЗ-ТК'!$AP$14:$AP$25</definedName>
    <definedName name="_xlnm.Print_Area" localSheetId="0">'ПЛ-ТК'!$A$1:$AI$49</definedName>
    <definedName name="_xlnm.Print_Area" localSheetId="4">'СЗ-Нал'!$A$1:$AK$36</definedName>
    <definedName name="_xlnm.Print_Area" localSheetId="1">'СЗ-ТК'!$A$1:$AF$61</definedName>
    <definedName name="Проект">'Список проектов'!$B$2:$B$22</definedName>
    <definedName name="составляет" localSheetId="4">'СЗ-Нал'!$AN$5:$AN$8</definedName>
    <definedName name="Топливо">'Список проектов'!$B$26:$B$33</definedName>
  </definedNames>
  <calcPr calcId="162913" refMode="R1C1"/>
</workbook>
</file>

<file path=xl/calcChain.xml><?xml version="1.0" encoding="utf-8"?>
<calcChain xmlns="http://schemas.openxmlformats.org/spreadsheetml/2006/main">
  <c r="D26" i="2" l="1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Z2" i="1"/>
  <c r="T28" i="2" l="1"/>
  <c r="W28" i="2" s="1"/>
  <c r="T40" i="2" l="1"/>
  <c r="W40" i="2" s="1"/>
  <c r="T41" i="2" l="1"/>
  <c r="W41" i="2" s="1"/>
  <c r="T38" i="2" l="1"/>
  <c r="W38" i="2" s="1"/>
  <c r="T39" i="2" l="1"/>
  <c r="W39" i="2" s="1"/>
  <c r="T36" i="2" l="1"/>
  <c r="W36" i="2" s="1"/>
  <c r="P2" i="1" l="1"/>
  <c r="J12" i="1" l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11" i="1"/>
  <c r="K6" i="8" l="1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K236" i="8"/>
  <c r="K237" i="8"/>
  <c r="K238" i="8"/>
  <c r="K239" i="8"/>
  <c r="K240" i="8"/>
  <c r="K241" i="8"/>
  <c r="K242" i="8"/>
  <c r="K243" i="8"/>
  <c r="K244" i="8"/>
  <c r="K245" i="8"/>
  <c r="K246" i="8"/>
  <c r="K247" i="8"/>
  <c r="K248" i="8"/>
  <c r="K249" i="8"/>
  <c r="K250" i="8"/>
  <c r="K251" i="8"/>
  <c r="K252" i="8"/>
  <c r="K253" i="8"/>
  <c r="K254" i="8"/>
  <c r="K255" i="8"/>
  <c r="K256" i="8"/>
  <c r="K257" i="8"/>
  <c r="K258" i="8"/>
  <c r="K259" i="8"/>
  <c r="K260" i="8"/>
  <c r="K261" i="8"/>
  <c r="K262" i="8"/>
  <c r="K263" i="8"/>
  <c r="K264" i="8"/>
  <c r="K265" i="8"/>
  <c r="K266" i="8"/>
  <c r="K267" i="8"/>
  <c r="K268" i="8"/>
  <c r="K269" i="8"/>
  <c r="K270" i="8"/>
  <c r="K271" i="8"/>
  <c r="K272" i="8"/>
  <c r="K273" i="8"/>
  <c r="K274" i="8"/>
  <c r="K275" i="8"/>
  <c r="K276" i="8"/>
  <c r="K277" i="8"/>
  <c r="K278" i="8"/>
  <c r="K279" i="8"/>
  <c r="K280" i="8"/>
  <c r="K281" i="8"/>
  <c r="K282" i="8"/>
  <c r="K283" i="8"/>
  <c r="K284" i="8"/>
  <c r="K285" i="8"/>
  <c r="K286" i="8"/>
  <c r="K287" i="8"/>
  <c r="K288" i="8"/>
  <c r="K289" i="8"/>
  <c r="K290" i="8"/>
  <c r="K291" i="8"/>
  <c r="K292" i="8"/>
  <c r="K293" i="8"/>
  <c r="K294" i="8"/>
  <c r="K295" i="8"/>
  <c r="K296" i="8"/>
  <c r="K297" i="8"/>
  <c r="K298" i="8"/>
  <c r="K299" i="8"/>
  <c r="K300" i="8"/>
  <c r="K301" i="8"/>
  <c r="K302" i="8"/>
  <c r="K303" i="8"/>
  <c r="K304" i="8"/>
  <c r="K305" i="8"/>
  <c r="K306" i="8"/>
  <c r="K307" i="8"/>
  <c r="K308" i="8"/>
  <c r="K309" i="8"/>
  <c r="K310" i="8"/>
  <c r="K311" i="8"/>
  <c r="K312" i="8"/>
  <c r="K313" i="8"/>
  <c r="K314" i="8"/>
  <c r="K315" i="8"/>
  <c r="K316" i="8"/>
  <c r="K317" i="8"/>
  <c r="K318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40" i="8"/>
  <c r="J41" i="8"/>
  <c r="J42" i="8"/>
  <c r="J43" i="8"/>
  <c r="J44" i="8"/>
  <c r="J45" i="8"/>
  <c r="J46" i="8"/>
  <c r="J47" i="8"/>
  <c r="J48" i="8"/>
  <c r="J49" i="8"/>
  <c r="J50" i="8"/>
  <c r="J51" i="8"/>
  <c r="J52" i="8"/>
  <c r="J53" i="8"/>
  <c r="J54" i="8"/>
  <c r="J55" i="8"/>
  <c r="J56" i="8"/>
  <c r="J57" i="8"/>
  <c r="J58" i="8"/>
  <c r="J59" i="8"/>
  <c r="J60" i="8"/>
  <c r="J61" i="8"/>
  <c r="J62" i="8"/>
  <c r="J63" i="8"/>
  <c r="J64" i="8"/>
  <c r="J65" i="8"/>
  <c r="J66" i="8"/>
  <c r="J67" i="8"/>
  <c r="J68" i="8"/>
  <c r="J69" i="8"/>
  <c r="J70" i="8"/>
  <c r="J71" i="8"/>
  <c r="J72" i="8"/>
  <c r="J73" i="8"/>
  <c r="J74" i="8"/>
  <c r="J75" i="8"/>
  <c r="J76" i="8"/>
  <c r="J77" i="8"/>
  <c r="J78" i="8"/>
  <c r="J79" i="8"/>
  <c r="J80" i="8"/>
  <c r="J81" i="8"/>
  <c r="J82" i="8"/>
  <c r="J83" i="8"/>
  <c r="J84" i="8"/>
  <c r="J85" i="8"/>
  <c r="J86" i="8"/>
  <c r="J87" i="8"/>
  <c r="J88" i="8"/>
  <c r="J89" i="8"/>
  <c r="J90" i="8"/>
  <c r="J91" i="8"/>
  <c r="J92" i="8"/>
  <c r="J93" i="8"/>
  <c r="J94" i="8"/>
  <c r="J95" i="8"/>
  <c r="J96" i="8"/>
  <c r="J97" i="8"/>
  <c r="J98" i="8"/>
  <c r="J99" i="8"/>
  <c r="J100" i="8"/>
  <c r="J101" i="8"/>
  <c r="J102" i="8"/>
  <c r="J103" i="8"/>
  <c r="J104" i="8"/>
  <c r="J105" i="8"/>
  <c r="J106" i="8"/>
  <c r="J107" i="8"/>
  <c r="J108" i="8"/>
  <c r="J109" i="8"/>
  <c r="J110" i="8"/>
  <c r="J111" i="8"/>
  <c r="J112" i="8"/>
  <c r="J113" i="8"/>
  <c r="J114" i="8"/>
  <c r="J115" i="8"/>
  <c r="J116" i="8"/>
  <c r="J117" i="8"/>
  <c r="J118" i="8"/>
  <c r="J119" i="8"/>
  <c r="J120" i="8"/>
  <c r="J121" i="8"/>
  <c r="J122" i="8"/>
  <c r="J123" i="8"/>
  <c r="J124" i="8"/>
  <c r="J125" i="8"/>
  <c r="J126" i="8"/>
  <c r="J127" i="8"/>
  <c r="J128" i="8"/>
  <c r="J129" i="8"/>
  <c r="J130" i="8"/>
  <c r="J131" i="8"/>
  <c r="J132" i="8"/>
  <c r="J133" i="8"/>
  <c r="J134" i="8"/>
  <c r="J135" i="8"/>
  <c r="J136" i="8"/>
  <c r="J137" i="8"/>
  <c r="J138" i="8"/>
  <c r="J139" i="8"/>
  <c r="J140" i="8"/>
  <c r="J141" i="8"/>
  <c r="J142" i="8"/>
  <c r="J143" i="8"/>
  <c r="J144" i="8"/>
  <c r="J145" i="8"/>
  <c r="J146" i="8"/>
  <c r="J147" i="8"/>
  <c r="J148" i="8"/>
  <c r="J149" i="8"/>
  <c r="J150" i="8"/>
  <c r="J151" i="8"/>
  <c r="J152" i="8"/>
  <c r="J153" i="8"/>
  <c r="J154" i="8"/>
  <c r="J155" i="8"/>
  <c r="J156" i="8"/>
  <c r="J157" i="8"/>
  <c r="J158" i="8"/>
  <c r="J159" i="8"/>
  <c r="J160" i="8"/>
  <c r="J161" i="8"/>
  <c r="J162" i="8"/>
  <c r="J163" i="8"/>
  <c r="J164" i="8"/>
  <c r="J165" i="8"/>
  <c r="J166" i="8"/>
  <c r="J167" i="8"/>
  <c r="J168" i="8"/>
  <c r="J169" i="8"/>
  <c r="J170" i="8"/>
  <c r="J171" i="8"/>
  <c r="J172" i="8"/>
  <c r="J173" i="8"/>
  <c r="J174" i="8"/>
  <c r="J175" i="8"/>
  <c r="J176" i="8"/>
  <c r="J177" i="8"/>
  <c r="J178" i="8"/>
  <c r="J179" i="8"/>
  <c r="J180" i="8"/>
  <c r="J181" i="8"/>
  <c r="J182" i="8"/>
  <c r="J183" i="8"/>
  <c r="J184" i="8"/>
  <c r="J185" i="8"/>
  <c r="J186" i="8"/>
  <c r="J187" i="8"/>
  <c r="J188" i="8"/>
  <c r="J189" i="8"/>
  <c r="J190" i="8"/>
  <c r="J191" i="8"/>
  <c r="J192" i="8"/>
  <c r="J193" i="8"/>
  <c r="J194" i="8"/>
  <c r="J195" i="8"/>
  <c r="J196" i="8"/>
  <c r="J197" i="8"/>
  <c r="J198" i="8"/>
  <c r="J199" i="8"/>
  <c r="J200" i="8"/>
  <c r="J201" i="8"/>
  <c r="J202" i="8"/>
  <c r="J203" i="8"/>
  <c r="J204" i="8"/>
  <c r="J205" i="8"/>
  <c r="J206" i="8"/>
  <c r="J207" i="8"/>
  <c r="J208" i="8"/>
  <c r="J209" i="8"/>
  <c r="J210" i="8"/>
  <c r="J211" i="8"/>
  <c r="J212" i="8"/>
  <c r="J213" i="8"/>
  <c r="J214" i="8"/>
  <c r="J215" i="8"/>
  <c r="J216" i="8"/>
  <c r="J217" i="8"/>
  <c r="J218" i="8"/>
  <c r="J219" i="8"/>
  <c r="J220" i="8"/>
  <c r="J221" i="8"/>
  <c r="J222" i="8"/>
  <c r="J223" i="8"/>
  <c r="J224" i="8"/>
  <c r="J225" i="8"/>
  <c r="J226" i="8"/>
  <c r="J227" i="8"/>
  <c r="J228" i="8"/>
  <c r="J229" i="8"/>
  <c r="J230" i="8"/>
  <c r="J231" i="8"/>
  <c r="J232" i="8"/>
  <c r="J233" i="8"/>
  <c r="J234" i="8"/>
  <c r="J235" i="8"/>
  <c r="J236" i="8"/>
  <c r="J237" i="8"/>
  <c r="J238" i="8"/>
  <c r="J239" i="8"/>
  <c r="J240" i="8"/>
  <c r="J241" i="8"/>
  <c r="J242" i="8"/>
  <c r="J243" i="8"/>
  <c r="J244" i="8"/>
  <c r="J245" i="8"/>
  <c r="J246" i="8"/>
  <c r="J247" i="8"/>
  <c r="J248" i="8"/>
  <c r="J249" i="8"/>
  <c r="J250" i="8"/>
  <c r="J251" i="8"/>
  <c r="J252" i="8"/>
  <c r="J253" i="8"/>
  <c r="J254" i="8"/>
  <c r="J255" i="8"/>
  <c r="J256" i="8"/>
  <c r="J257" i="8"/>
  <c r="J258" i="8"/>
  <c r="J259" i="8"/>
  <c r="J260" i="8"/>
  <c r="J261" i="8"/>
  <c r="J262" i="8"/>
  <c r="J263" i="8"/>
  <c r="J264" i="8"/>
  <c r="J265" i="8"/>
  <c r="J266" i="8"/>
  <c r="J267" i="8"/>
  <c r="J268" i="8"/>
  <c r="J269" i="8"/>
  <c r="J270" i="8"/>
  <c r="J271" i="8"/>
  <c r="J272" i="8"/>
  <c r="J273" i="8"/>
  <c r="J274" i="8"/>
  <c r="J275" i="8"/>
  <c r="J276" i="8"/>
  <c r="J277" i="8"/>
  <c r="J278" i="8"/>
  <c r="J279" i="8"/>
  <c r="J280" i="8"/>
  <c r="J281" i="8"/>
  <c r="J282" i="8"/>
  <c r="J283" i="8"/>
  <c r="J284" i="8"/>
  <c r="J285" i="8"/>
  <c r="J286" i="8"/>
  <c r="J287" i="8"/>
  <c r="J288" i="8"/>
  <c r="J289" i="8"/>
  <c r="J290" i="8"/>
  <c r="J291" i="8"/>
  <c r="J292" i="8"/>
  <c r="J293" i="8"/>
  <c r="J294" i="8"/>
  <c r="J295" i="8"/>
  <c r="J296" i="8"/>
  <c r="J297" i="8"/>
  <c r="J298" i="8"/>
  <c r="J299" i="8"/>
  <c r="J300" i="8"/>
  <c r="J301" i="8"/>
  <c r="J302" i="8"/>
  <c r="J303" i="8"/>
  <c r="J304" i="8"/>
  <c r="J305" i="8"/>
  <c r="J306" i="8"/>
  <c r="J307" i="8"/>
  <c r="J308" i="8"/>
  <c r="J309" i="8"/>
  <c r="J310" i="8"/>
  <c r="J311" i="8"/>
  <c r="J312" i="8"/>
  <c r="J313" i="8"/>
  <c r="J314" i="8"/>
  <c r="J315" i="8"/>
  <c r="J316" i="8"/>
  <c r="J317" i="8"/>
  <c r="J318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I250" i="8"/>
  <c r="I251" i="8"/>
  <c r="I252" i="8"/>
  <c r="I253" i="8"/>
  <c r="I254" i="8"/>
  <c r="I255" i="8"/>
  <c r="I256" i="8"/>
  <c r="I257" i="8"/>
  <c r="I258" i="8"/>
  <c r="I259" i="8"/>
  <c r="I260" i="8"/>
  <c r="I261" i="8"/>
  <c r="I262" i="8"/>
  <c r="I263" i="8"/>
  <c r="I264" i="8"/>
  <c r="I265" i="8"/>
  <c r="I266" i="8"/>
  <c r="I267" i="8"/>
  <c r="I268" i="8"/>
  <c r="I269" i="8"/>
  <c r="I270" i="8"/>
  <c r="I271" i="8"/>
  <c r="I272" i="8"/>
  <c r="I273" i="8"/>
  <c r="I274" i="8"/>
  <c r="I275" i="8"/>
  <c r="I276" i="8"/>
  <c r="I277" i="8"/>
  <c r="I278" i="8"/>
  <c r="I279" i="8"/>
  <c r="I280" i="8"/>
  <c r="I281" i="8"/>
  <c r="I282" i="8"/>
  <c r="I283" i="8"/>
  <c r="I284" i="8"/>
  <c r="I285" i="8"/>
  <c r="I286" i="8"/>
  <c r="I287" i="8"/>
  <c r="I288" i="8"/>
  <c r="I289" i="8"/>
  <c r="I290" i="8"/>
  <c r="I291" i="8"/>
  <c r="I292" i="8"/>
  <c r="I293" i="8"/>
  <c r="I294" i="8"/>
  <c r="I295" i="8"/>
  <c r="I296" i="8"/>
  <c r="I297" i="8"/>
  <c r="I298" i="8"/>
  <c r="I299" i="8"/>
  <c r="I300" i="8"/>
  <c r="I301" i="8"/>
  <c r="I302" i="8"/>
  <c r="I303" i="8"/>
  <c r="I304" i="8"/>
  <c r="I305" i="8"/>
  <c r="I306" i="8"/>
  <c r="I307" i="8"/>
  <c r="I308" i="8"/>
  <c r="I309" i="8"/>
  <c r="I310" i="8"/>
  <c r="I311" i="8"/>
  <c r="I312" i="8"/>
  <c r="I313" i="8"/>
  <c r="I314" i="8"/>
  <c r="I315" i="8"/>
  <c r="I316" i="8"/>
  <c r="I317" i="8"/>
  <c r="I318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297" i="8"/>
  <c r="H298" i="8"/>
  <c r="H299" i="8"/>
  <c r="H300" i="8"/>
  <c r="H301" i="8"/>
  <c r="H302" i="8"/>
  <c r="H303" i="8"/>
  <c r="H304" i="8"/>
  <c r="H305" i="8"/>
  <c r="H306" i="8"/>
  <c r="H307" i="8"/>
  <c r="H308" i="8"/>
  <c r="H309" i="8"/>
  <c r="H310" i="8"/>
  <c r="H311" i="8"/>
  <c r="H312" i="8"/>
  <c r="H313" i="8"/>
  <c r="H314" i="8"/>
  <c r="H315" i="8"/>
  <c r="H316" i="8"/>
  <c r="H317" i="8"/>
  <c r="H318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49" i="8"/>
  <c r="G250" i="8"/>
  <c r="G251" i="8"/>
  <c r="G252" i="8"/>
  <c r="G253" i="8"/>
  <c r="G254" i="8"/>
  <c r="G255" i="8"/>
  <c r="G256" i="8"/>
  <c r="G257" i="8"/>
  <c r="G258" i="8"/>
  <c r="G259" i="8"/>
  <c r="G260" i="8"/>
  <c r="G261" i="8"/>
  <c r="G262" i="8"/>
  <c r="G263" i="8"/>
  <c r="G264" i="8"/>
  <c r="G265" i="8"/>
  <c r="G266" i="8"/>
  <c r="G267" i="8"/>
  <c r="G268" i="8"/>
  <c r="G269" i="8"/>
  <c r="G270" i="8"/>
  <c r="G271" i="8"/>
  <c r="G272" i="8"/>
  <c r="G273" i="8"/>
  <c r="G274" i="8"/>
  <c r="G275" i="8"/>
  <c r="G276" i="8"/>
  <c r="G277" i="8"/>
  <c r="G278" i="8"/>
  <c r="G279" i="8"/>
  <c r="G280" i="8"/>
  <c r="G281" i="8"/>
  <c r="G282" i="8"/>
  <c r="G283" i="8"/>
  <c r="G284" i="8"/>
  <c r="G285" i="8"/>
  <c r="G286" i="8"/>
  <c r="G287" i="8"/>
  <c r="G288" i="8"/>
  <c r="G289" i="8"/>
  <c r="G290" i="8"/>
  <c r="G291" i="8"/>
  <c r="G292" i="8"/>
  <c r="G293" i="8"/>
  <c r="G294" i="8"/>
  <c r="G295" i="8"/>
  <c r="G296" i="8"/>
  <c r="G297" i="8"/>
  <c r="G298" i="8"/>
  <c r="G299" i="8"/>
  <c r="G300" i="8"/>
  <c r="G301" i="8"/>
  <c r="G302" i="8"/>
  <c r="G303" i="8"/>
  <c r="G304" i="8"/>
  <c r="G305" i="8"/>
  <c r="G306" i="8"/>
  <c r="G307" i="8"/>
  <c r="G308" i="8"/>
  <c r="G309" i="8"/>
  <c r="G310" i="8"/>
  <c r="G311" i="8"/>
  <c r="G312" i="8"/>
  <c r="G313" i="8"/>
  <c r="G314" i="8"/>
  <c r="G315" i="8"/>
  <c r="G316" i="8"/>
  <c r="G317" i="8"/>
  <c r="G318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F250" i="8"/>
  <c r="F251" i="8"/>
  <c r="F252" i="8"/>
  <c r="F253" i="8"/>
  <c r="F254" i="8"/>
  <c r="F255" i="8"/>
  <c r="F256" i="8"/>
  <c r="F257" i="8"/>
  <c r="F258" i="8"/>
  <c r="F259" i="8"/>
  <c r="F260" i="8"/>
  <c r="F261" i="8"/>
  <c r="F262" i="8"/>
  <c r="F263" i="8"/>
  <c r="F264" i="8"/>
  <c r="F265" i="8"/>
  <c r="F266" i="8"/>
  <c r="F267" i="8"/>
  <c r="F268" i="8"/>
  <c r="F269" i="8"/>
  <c r="F270" i="8"/>
  <c r="F271" i="8"/>
  <c r="F272" i="8"/>
  <c r="F273" i="8"/>
  <c r="F274" i="8"/>
  <c r="F275" i="8"/>
  <c r="F276" i="8"/>
  <c r="F277" i="8"/>
  <c r="F278" i="8"/>
  <c r="F279" i="8"/>
  <c r="F280" i="8"/>
  <c r="F281" i="8"/>
  <c r="F282" i="8"/>
  <c r="F283" i="8"/>
  <c r="F284" i="8"/>
  <c r="F285" i="8"/>
  <c r="F286" i="8"/>
  <c r="F287" i="8"/>
  <c r="F288" i="8"/>
  <c r="F289" i="8"/>
  <c r="F290" i="8"/>
  <c r="F291" i="8"/>
  <c r="F292" i="8"/>
  <c r="F293" i="8"/>
  <c r="F294" i="8"/>
  <c r="F295" i="8"/>
  <c r="F296" i="8"/>
  <c r="F297" i="8"/>
  <c r="F298" i="8"/>
  <c r="F299" i="8"/>
  <c r="F300" i="8"/>
  <c r="F301" i="8"/>
  <c r="F302" i="8"/>
  <c r="F303" i="8"/>
  <c r="F304" i="8"/>
  <c r="F305" i="8"/>
  <c r="F306" i="8"/>
  <c r="F307" i="8"/>
  <c r="F308" i="8"/>
  <c r="F309" i="8"/>
  <c r="F310" i="8"/>
  <c r="F311" i="8"/>
  <c r="F312" i="8"/>
  <c r="F313" i="8"/>
  <c r="F314" i="8"/>
  <c r="F315" i="8"/>
  <c r="F316" i="8"/>
  <c r="F317" i="8"/>
  <c r="F318" i="8"/>
  <c r="AV11" i="1" l="1"/>
  <c r="AV12" i="1"/>
  <c r="AV13" i="1"/>
  <c r="AV14" i="1"/>
  <c r="AV15" i="1"/>
  <c r="AV16" i="1"/>
  <c r="AV17" i="1"/>
  <c r="AV18" i="1"/>
  <c r="AV19" i="1"/>
  <c r="AV20" i="1"/>
  <c r="AV21" i="1"/>
  <c r="AV22" i="1"/>
  <c r="AV23" i="1"/>
  <c r="AV24" i="1"/>
  <c r="AV25" i="1"/>
  <c r="AV26" i="1"/>
  <c r="AV27" i="1"/>
  <c r="AV28" i="1"/>
  <c r="AV29" i="1"/>
  <c r="AV30" i="1"/>
  <c r="AV31" i="1"/>
  <c r="AV32" i="1"/>
  <c r="AV33" i="1"/>
  <c r="AV34" i="1"/>
  <c r="AV35" i="1"/>
  <c r="AV36" i="1"/>
  <c r="AV37" i="1"/>
  <c r="AV38" i="1"/>
  <c r="AV39" i="1"/>
  <c r="AV40" i="1"/>
  <c r="AV41" i="1"/>
  <c r="AU11" i="1" l="1"/>
  <c r="AU12" i="1"/>
  <c r="AU13" i="1"/>
  <c r="AU14" i="1"/>
  <c r="AU15" i="1"/>
  <c r="AU16" i="1"/>
  <c r="AU17" i="1"/>
  <c r="AU18" i="1"/>
  <c r="AU19" i="1"/>
  <c r="AU20" i="1"/>
  <c r="AU21" i="1"/>
  <c r="AU22" i="1"/>
  <c r="AU23" i="1"/>
  <c r="AU24" i="1"/>
  <c r="AU25" i="1"/>
  <c r="AU26" i="1"/>
  <c r="AU27" i="1"/>
  <c r="AU28" i="1"/>
  <c r="AU29" i="1"/>
  <c r="AU30" i="1"/>
  <c r="AU31" i="1"/>
  <c r="AU32" i="1"/>
  <c r="AU33" i="1"/>
  <c r="AU34" i="1"/>
  <c r="AU35" i="1"/>
  <c r="AU36" i="1"/>
  <c r="AU37" i="1"/>
  <c r="AU38" i="1"/>
  <c r="AU39" i="1"/>
  <c r="AU40" i="1"/>
  <c r="AU41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35" i="1"/>
  <c r="AQ36" i="1"/>
  <c r="AQ37" i="1"/>
  <c r="AQ38" i="1"/>
  <c r="AQ39" i="1"/>
  <c r="AQ40" i="1"/>
  <c r="AQ41" i="1"/>
  <c r="D39" i="8" l="1"/>
  <c r="K39" i="8" s="1"/>
  <c r="AR11" i="1"/>
  <c r="AR12" i="1"/>
  <c r="AR13" i="1"/>
  <c r="AR14" i="1"/>
  <c r="AR1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R29" i="1"/>
  <c r="AR30" i="1"/>
  <c r="AR31" i="1"/>
  <c r="AR32" i="1"/>
  <c r="AR33" i="1"/>
  <c r="AR34" i="1"/>
  <c r="AR35" i="1"/>
  <c r="AR36" i="1"/>
  <c r="AR37" i="1"/>
  <c r="AR38" i="1"/>
  <c r="AR39" i="1"/>
  <c r="AR40" i="1"/>
  <c r="AR41" i="1"/>
  <c r="D21" i="2" l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11" i="1"/>
  <c r="AT11" i="1"/>
  <c r="AT12" i="1"/>
  <c r="AT13" i="1"/>
  <c r="AT14" i="1"/>
  <c r="AT15" i="1"/>
  <c r="AT16" i="1"/>
  <c r="AT17" i="1"/>
  <c r="AT18" i="1"/>
  <c r="AT19" i="1"/>
  <c r="AT20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35" i="1"/>
  <c r="AT36" i="1"/>
  <c r="AT37" i="1"/>
  <c r="AT38" i="1"/>
  <c r="AT39" i="1"/>
  <c r="AT40" i="1"/>
  <c r="AT41" i="1"/>
  <c r="AS11" i="1"/>
  <c r="AS12" i="1"/>
  <c r="AS13" i="1"/>
  <c r="AS14" i="1"/>
  <c r="AS15" i="1"/>
  <c r="AS16" i="1"/>
  <c r="AS17" i="1"/>
  <c r="AS18" i="1"/>
  <c r="AS19" i="1"/>
  <c r="AS20" i="1"/>
  <c r="AS21" i="1"/>
  <c r="AS22" i="1"/>
  <c r="AS23" i="1"/>
  <c r="AS24" i="1"/>
  <c r="AS25" i="1"/>
  <c r="AS26" i="1"/>
  <c r="AS27" i="1"/>
  <c r="AS28" i="1"/>
  <c r="AS29" i="1"/>
  <c r="AS30" i="1"/>
  <c r="AS31" i="1"/>
  <c r="AS32" i="1"/>
  <c r="AS33" i="1"/>
  <c r="AS34" i="1"/>
  <c r="AS35" i="1"/>
  <c r="AS36" i="1"/>
  <c r="AS37" i="1"/>
  <c r="AS38" i="1"/>
  <c r="AS39" i="1"/>
  <c r="AS40" i="1"/>
  <c r="AS41" i="1"/>
  <c r="AL12" i="1"/>
  <c r="AM12" i="1"/>
  <c r="AP12" i="1"/>
  <c r="AL13" i="1"/>
  <c r="AM13" i="1"/>
  <c r="AP13" i="1"/>
  <c r="AL14" i="1"/>
  <c r="AM14" i="1"/>
  <c r="AP14" i="1"/>
  <c r="AL15" i="1"/>
  <c r="AM15" i="1"/>
  <c r="AP15" i="1"/>
  <c r="AL16" i="1"/>
  <c r="AM16" i="1"/>
  <c r="AP16" i="1"/>
  <c r="AL17" i="1"/>
  <c r="AM17" i="1"/>
  <c r="AP17" i="1"/>
  <c r="AL18" i="1"/>
  <c r="AM18" i="1"/>
  <c r="AP18" i="1"/>
  <c r="AL19" i="1"/>
  <c r="AM19" i="1"/>
  <c r="AP19" i="1"/>
  <c r="AL20" i="1"/>
  <c r="AM20" i="1"/>
  <c r="AP20" i="1"/>
  <c r="AL21" i="1"/>
  <c r="AM21" i="1"/>
  <c r="AP21" i="1"/>
  <c r="AL22" i="1"/>
  <c r="AM22" i="1"/>
  <c r="AP22" i="1"/>
  <c r="AL23" i="1"/>
  <c r="AM23" i="1"/>
  <c r="AP23" i="1"/>
  <c r="AL24" i="1"/>
  <c r="AM24" i="1"/>
  <c r="AP24" i="1"/>
  <c r="AL25" i="1"/>
  <c r="AM25" i="1"/>
  <c r="AP25" i="1"/>
  <c r="AL26" i="1"/>
  <c r="AM26" i="1"/>
  <c r="AP26" i="1"/>
  <c r="AL27" i="1"/>
  <c r="AM27" i="1"/>
  <c r="AP27" i="1"/>
  <c r="AL28" i="1"/>
  <c r="AM28" i="1"/>
  <c r="AP28" i="1"/>
  <c r="AL29" i="1"/>
  <c r="AM29" i="1"/>
  <c r="AP29" i="1"/>
  <c r="AL30" i="1"/>
  <c r="AM30" i="1"/>
  <c r="AP30" i="1"/>
  <c r="AL31" i="1"/>
  <c r="AM31" i="1"/>
  <c r="AP31" i="1"/>
  <c r="AL32" i="1"/>
  <c r="AM32" i="1"/>
  <c r="AP32" i="1"/>
  <c r="AL33" i="1"/>
  <c r="AM33" i="1"/>
  <c r="AP33" i="1"/>
  <c r="AL34" i="1"/>
  <c r="AM34" i="1"/>
  <c r="AP34" i="1"/>
  <c r="AL35" i="1"/>
  <c r="AM35" i="1"/>
  <c r="AP35" i="1"/>
  <c r="AL36" i="1"/>
  <c r="AM36" i="1"/>
  <c r="AP36" i="1"/>
  <c r="AL37" i="1"/>
  <c r="AM37" i="1"/>
  <c r="AP37" i="1"/>
  <c r="AL38" i="1"/>
  <c r="AM38" i="1"/>
  <c r="AP38" i="1"/>
  <c r="AL39" i="1"/>
  <c r="AM39" i="1"/>
  <c r="AP39" i="1"/>
  <c r="AL40" i="1"/>
  <c r="AM40" i="1"/>
  <c r="AP40" i="1"/>
  <c r="AL41" i="1"/>
  <c r="AM41" i="1"/>
  <c r="AP41" i="1"/>
  <c r="AL11" i="1"/>
  <c r="AP11" i="1"/>
  <c r="AN11" i="1"/>
  <c r="AM11" i="1"/>
  <c r="C39" i="8" l="1"/>
  <c r="J39" i="8" s="1"/>
  <c r="U5" i="2" l="1"/>
  <c r="T35" i="2" l="1"/>
  <c r="W35" i="2" s="1"/>
  <c r="T37" i="2"/>
  <c r="W37" i="2" s="1"/>
  <c r="P10" i="2" l="1"/>
  <c r="C12" i="10" l="1"/>
  <c r="D32" i="8" l="1"/>
  <c r="K32" i="8" s="1"/>
  <c r="C33" i="8"/>
  <c r="J33" i="8" s="1"/>
  <c r="C32" i="8"/>
  <c r="J32" i="8" s="1"/>
  <c r="C31" i="8"/>
  <c r="J31" i="8" s="1"/>
  <c r="C34" i="8" l="1"/>
  <c r="J34" i="8" s="1"/>
  <c r="C35" i="8"/>
  <c r="J35" i="8" s="1"/>
  <c r="C36" i="8"/>
  <c r="J36" i="8" s="1"/>
  <c r="C37" i="8"/>
  <c r="J37" i="8" s="1"/>
  <c r="C38" i="8"/>
  <c r="J38" i="8" s="1"/>
  <c r="D33" i="8"/>
  <c r="K33" i="8" s="1"/>
  <c r="D34" i="8"/>
  <c r="K34" i="8" s="1"/>
  <c r="D35" i="8"/>
  <c r="K35" i="8" s="1"/>
  <c r="D36" i="8"/>
  <c r="K36" i="8" s="1"/>
  <c r="D37" i="8"/>
  <c r="K37" i="8" s="1"/>
  <c r="D38" i="8"/>
  <c r="K38" i="8" s="1"/>
  <c r="D31" i="8"/>
  <c r="K31" i="8" s="1"/>
  <c r="I48" i="2" l="1"/>
  <c r="T32" i="2"/>
  <c r="W32" i="2" s="1"/>
  <c r="T26" i="2" l="1"/>
  <c r="W26" i="2" s="1"/>
  <c r="T27" i="2"/>
  <c r="W27" i="2" s="1"/>
  <c r="T29" i="2"/>
  <c r="W29" i="2" s="1"/>
  <c r="T30" i="2"/>
  <c r="W30" i="2" s="1"/>
  <c r="AE43" i="1" l="1"/>
  <c r="D22" i="2" l="1"/>
  <c r="T22" i="2" s="1"/>
  <c r="W22" i="2" s="1"/>
  <c r="D23" i="2"/>
  <c r="T23" i="2" s="1"/>
  <c r="W23" i="2" s="1"/>
  <c r="D24" i="2"/>
  <c r="T24" i="2" s="1"/>
  <c r="W24" i="2" s="1"/>
  <c r="D25" i="2"/>
  <c r="T25" i="2" s="1"/>
  <c r="W25" i="2" s="1"/>
  <c r="T31" i="2"/>
  <c r="W31" i="2" s="1"/>
  <c r="T33" i="2"/>
  <c r="W33" i="2" s="1"/>
  <c r="T34" i="2"/>
  <c r="W34" i="2" s="1"/>
  <c r="T21" i="2"/>
  <c r="W21" i="2" s="1"/>
  <c r="O43" i="1"/>
  <c r="W42" i="2" l="1"/>
  <c r="P46" i="2" s="1"/>
  <c r="T42" i="2"/>
  <c r="J57" i="2" s="1"/>
  <c r="L58" i="2" l="1"/>
  <c r="P14" i="2" l="1"/>
  <c r="G16" i="2" l="1"/>
  <c r="AN12" i="1" l="1"/>
  <c r="AO11" i="1"/>
  <c r="AN13" i="1" l="1"/>
  <c r="AO13" i="1"/>
  <c r="AO12" i="1"/>
  <c r="W2" i="1"/>
  <c r="C17" i="2" s="1"/>
  <c r="C13" i="2" l="1"/>
  <c r="AN14" i="1" l="1"/>
  <c r="AO14" i="1" l="1"/>
  <c r="AN15" i="1" l="1"/>
  <c r="AO15" i="1" l="1"/>
  <c r="AN16" i="1" l="1"/>
  <c r="AO16" i="1" l="1"/>
  <c r="AN17" i="1" l="1"/>
  <c r="AO17" i="1" l="1"/>
  <c r="AN18" i="1" l="1"/>
  <c r="AO18" i="1" l="1"/>
  <c r="AN19" i="1" l="1"/>
  <c r="AO19" i="1" l="1"/>
  <c r="AN20" i="1" l="1"/>
  <c r="AO20" i="1" l="1"/>
  <c r="AN21" i="1" l="1"/>
  <c r="AO21" i="1" l="1"/>
  <c r="AN22" i="1" l="1"/>
  <c r="AO22" i="1" l="1"/>
  <c r="AN23" i="1" l="1"/>
  <c r="AO23" i="1" l="1"/>
  <c r="AN24" i="1" l="1"/>
  <c r="AO24" i="1" l="1"/>
  <c r="AN25" i="1" l="1"/>
  <c r="AO25" i="1" l="1"/>
  <c r="AN26" i="1" l="1"/>
  <c r="AO26" i="1" l="1"/>
  <c r="AN27" i="1" l="1"/>
  <c r="AO27" i="1" l="1"/>
  <c r="AN28" i="1" l="1"/>
  <c r="AO28" i="1" l="1"/>
  <c r="AN29" i="1" l="1"/>
  <c r="AO29" i="1" l="1"/>
  <c r="AN30" i="1" l="1"/>
  <c r="AO30" i="1" l="1"/>
  <c r="AN31" i="1" l="1"/>
  <c r="AO31" i="1" l="1"/>
  <c r="AN32" i="1" l="1"/>
  <c r="AO32" i="1" l="1"/>
  <c r="AN33" i="1" l="1"/>
  <c r="AO33" i="1" l="1"/>
  <c r="AN34" i="1" l="1"/>
  <c r="AO34" i="1" l="1"/>
  <c r="AN35" i="1" l="1"/>
  <c r="AO35" i="1" l="1"/>
  <c r="AN36" i="1" l="1"/>
  <c r="AO36" i="1" l="1"/>
  <c r="AN37" i="1" l="1"/>
  <c r="AO37" i="1" l="1"/>
  <c r="AN38" i="1" l="1"/>
  <c r="AO38" i="1" l="1"/>
  <c r="AN39" i="1" l="1"/>
  <c r="AO39" i="1" l="1"/>
  <c r="AN40" i="1" l="1"/>
  <c r="AO40" i="1" l="1"/>
  <c r="AN41" i="1" l="1"/>
  <c r="AO41" i="1"/>
</calcChain>
</file>

<file path=xl/sharedStrings.xml><?xml version="1.0" encoding="utf-8"?>
<sst xmlns="http://schemas.openxmlformats.org/spreadsheetml/2006/main" count="301" uniqueCount="202">
  <si>
    <t>№</t>
  </si>
  <si>
    <t xml:space="preserve">за </t>
  </si>
  <si>
    <t>I. Данные по поездкам</t>
  </si>
  <si>
    <t>Дата</t>
  </si>
  <si>
    <t>Начало, км</t>
  </si>
  <si>
    <t>II. Результаты использования легкового автомобиля</t>
  </si>
  <si>
    <t>Пробег общий за отчетный период, км</t>
  </si>
  <si>
    <t>Марка автомобиля</t>
  </si>
  <si>
    <t>Адрес, телефон</t>
  </si>
  <si>
    <t>(ФИО сотрудника)</t>
  </si>
  <si>
    <t>(Подпись сотрудника)</t>
  </si>
  <si>
    <t>(ФИО уполномоченного сотрудника)</t>
  </si>
  <si>
    <t>(Подпись уполномоченного сотрудника)</t>
  </si>
  <si>
    <t>Конец, км</t>
  </si>
  <si>
    <t>Пробег, км</t>
  </si>
  <si>
    <t>Описание маршрута</t>
  </si>
  <si>
    <t>Служебная записка</t>
  </si>
  <si>
    <t>Суммарный пробег по выполненным поездкам в служебных целях за отчетный период</t>
  </si>
  <si>
    <t>Чеки на сумму</t>
  </si>
  <si>
    <t>Генеральному директору</t>
  </si>
  <si>
    <t>ООО "Сервионика"</t>
  </si>
  <si>
    <t>от</t>
  </si>
  <si>
    <t>шт.</t>
  </si>
  <si>
    <t>км.</t>
  </si>
  <si>
    <t>руб.</t>
  </si>
  <si>
    <t>Сотрудник</t>
  </si>
  <si>
    <t>/</t>
  </si>
  <si>
    <t>"</t>
  </si>
  <si>
    <t xml:space="preserve">Компенсация на сумму </t>
  </si>
  <si>
    <t xml:space="preserve">Проверено, согласовано: </t>
  </si>
  <si>
    <t>Служебный пробег</t>
  </si>
  <si>
    <t>км,</t>
  </si>
  <si>
    <t>Куратор</t>
  </si>
  <si>
    <t>_</t>
  </si>
  <si>
    <t>г.</t>
  </si>
  <si>
    <r>
      <t xml:space="preserve">Показания одометра на </t>
    </r>
    <r>
      <rPr>
        <b/>
        <sz val="10"/>
        <color theme="1"/>
        <rFont val="Calibri"/>
        <family val="2"/>
        <charset val="204"/>
        <scheme val="minor"/>
      </rPr>
      <t>конец</t>
    </r>
    <r>
      <rPr>
        <sz val="10"/>
        <color theme="1"/>
        <rFont val="Calibri"/>
        <family val="2"/>
        <charset val="204"/>
        <scheme val="minor"/>
      </rPr>
      <t xml:space="preserve"> периода</t>
    </r>
  </si>
  <si>
    <r>
      <t xml:space="preserve">Показания одометра на </t>
    </r>
    <r>
      <rPr>
        <b/>
        <sz val="10"/>
        <color theme="1"/>
        <rFont val="Calibri"/>
        <family val="2"/>
        <charset val="204"/>
        <scheme val="minor"/>
      </rPr>
      <t>начало</t>
    </r>
    <r>
      <rPr>
        <sz val="10"/>
        <color theme="1"/>
        <rFont val="Calibri"/>
        <family val="2"/>
        <charset val="204"/>
        <scheme val="minor"/>
      </rPr>
      <t xml:space="preserve"> периода</t>
    </r>
  </si>
  <si>
    <t>Номер водительского удостоверения</t>
  </si>
  <si>
    <t>Государственный номер ТС</t>
  </si>
  <si>
    <t>Номер заявки / Перечень задач</t>
  </si>
  <si>
    <t>руб. прилагаются</t>
  </si>
  <si>
    <t>Расчет компенсации приведен ниже.</t>
  </si>
  <si>
    <t>Номер топливной карты</t>
  </si>
  <si>
    <t>с применением топливной карты №</t>
  </si>
  <si>
    <t>Прошу выплатить мне компенсацию за использование личного автомобиля в служебных целях</t>
  </si>
  <si>
    <t>Номера договоров</t>
  </si>
  <si>
    <t>Ф.И.О.</t>
  </si>
  <si>
    <t>Марка машины</t>
  </si>
  <si>
    <t>Расход топлива по норме Минтранса</t>
  </si>
  <si>
    <t>№ карты</t>
  </si>
  <si>
    <t>Вид топлива</t>
  </si>
  <si>
    <t>Дата заправки</t>
  </si>
  <si>
    <t>количество заправленного топлива</t>
  </si>
  <si>
    <t>Сумма заправки</t>
  </si>
  <si>
    <t>№ 108672-9/23ПС от 16.02.23</t>
  </si>
  <si>
    <t>№ 108672-7/23ПС от 16.02.23</t>
  </si>
  <si>
    <t>№ 108672-1/23ПС от 16.02.23</t>
  </si>
  <si>
    <t>№ 108672-4/23ПС от 16.02.23</t>
  </si>
  <si>
    <t>№ 108672-3/23ПС от 16.02.23</t>
  </si>
  <si>
    <t>№ 108672-2/23ПС от 16.02.23</t>
  </si>
  <si>
    <t>№ 108672-6/23ПС от 16.02.23</t>
  </si>
  <si>
    <t>Проект</t>
  </si>
  <si>
    <t>составляет:</t>
  </si>
  <si>
    <t>Количество выполненных поездок:</t>
  </si>
  <si>
    <t xml:space="preserve">ВымпелКом </t>
  </si>
  <si>
    <t xml:space="preserve">№ 01-1522/04-2022 от 16.05.2022 </t>
  </si>
  <si>
    <t>Теле 2</t>
  </si>
  <si>
    <t>№ 1491415 от 24.05.2022</t>
  </si>
  <si>
    <t>БГК</t>
  </si>
  <si>
    <t>№ 71/6248/291/165/03225/22 от 17.08.2022</t>
  </si>
  <si>
    <t>Пробег</t>
  </si>
  <si>
    <t>Коэфф.</t>
  </si>
  <si>
    <t>Сумма компенсации</t>
  </si>
  <si>
    <r>
      <t>КОМП</t>
    </r>
    <r>
      <rPr>
        <b/>
        <vertAlign val="subscript"/>
        <sz val="10"/>
        <color theme="1"/>
        <rFont val="Calibri"/>
        <family val="2"/>
        <charset val="204"/>
        <scheme val="minor"/>
      </rPr>
      <t>ИСП</t>
    </r>
  </si>
  <si>
    <t>202__ г.</t>
  </si>
  <si>
    <t>ИТОГО:</t>
  </si>
  <si>
    <t>ФИО сотрудника,должность, компания</t>
  </si>
  <si>
    <t>ПСБ</t>
  </si>
  <si>
    <t>№ 15663-121/000-02034-22 от 12.12.2022</t>
  </si>
  <si>
    <t xml:space="preserve">№ TCI2211-68-LC от 21.11.2022 </t>
  </si>
  <si>
    <t>МВМ СВТ/М.Видео</t>
  </si>
  <si>
    <t>Количество выездов</t>
  </si>
  <si>
    <t>Магнит</t>
  </si>
  <si>
    <t>Росбанк</t>
  </si>
  <si>
    <t>№ TCI23-05-150-LC от 13.06.2023</t>
  </si>
  <si>
    <t>Топливо</t>
  </si>
  <si>
    <t>АИ-92</t>
  </si>
  <si>
    <t>АИ-92 Фирменное</t>
  </si>
  <si>
    <t>АИ-95</t>
  </si>
  <si>
    <t>АИ-95 Фирменное</t>
  </si>
  <si>
    <t>АИ-98</t>
  </si>
  <si>
    <t>АИ-100</t>
  </si>
  <si>
    <t>ДТ</t>
  </si>
  <si>
    <t>ДТ Зимнее</t>
  </si>
  <si>
    <t>Итого по:</t>
  </si>
  <si>
    <t>ФИО</t>
  </si>
  <si>
    <t>_____________________</t>
  </si>
  <si>
    <t>Дата :________________</t>
  </si>
  <si>
    <t>между ООО «Сервионика» и ООО «Т2 Мобайл»</t>
  </si>
  <si>
    <t>между ООО «Сервионика» и ООО «МВМ»</t>
  </si>
  <si>
    <t>между ООО «Сервионика» и ПАО «Магнит»</t>
  </si>
  <si>
    <t>между ООО «Сервионика» и ПАО «Росбанк»</t>
  </si>
  <si>
    <t>между ООО «Сервионика» и ПАО «Промсвязьбанк»</t>
  </si>
  <si>
    <t>между ООО «Сервионика» и ООО «Почта Сервис»</t>
  </si>
  <si>
    <t xml:space="preserve">ПР_Центр </t>
  </si>
  <si>
    <t>ПР_СЗ</t>
  </si>
  <si>
    <t>ПР_ДВ</t>
  </si>
  <si>
    <t>ПР_Сибирь</t>
  </si>
  <si>
    <t>ПР_Урал</t>
  </si>
  <si>
    <t>,</t>
  </si>
  <si>
    <t>ПР_Волга</t>
  </si>
  <si>
    <t>ПР_Юг</t>
  </si>
  <si>
    <t>между ООО «Сервионика» и Банк ВТБ (ПАО)</t>
  </si>
  <si>
    <t>2022/10/10974/50434409-ИТ</t>
  </si>
  <si>
    <t>ВТБ АРМ</t>
  </si>
  <si>
    <t>между ООО «Сервионика» и ПАО «ВымпелКом»</t>
  </si>
  <si>
    <t>ВК-СРКА-2022/2</t>
  </si>
  <si>
    <t>ВК</t>
  </si>
  <si>
    <t>между ООО «Сервионика» и ООО «МультиКарта»</t>
  </si>
  <si>
    <t>№МК22-115 от 10/10/2022</t>
  </si>
  <si>
    <t>МК</t>
  </si>
  <si>
    <t>между ООО «Сервионика» и ООО «БГК»</t>
  </si>
  <si>
    <t>И.О. Фамилия</t>
  </si>
  <si>
    <t>Должность, департамент</t>
  </si>
  <si>
    <t>Фамилия, инициалы</t>
  </si>
  <si>
    <t>мною ________ (ФИО) в период с ___ по ___ совершены служебные поездки</t>
  </si>
  <si>
    <t>что подтверждается путевыми листами и понесены расходы на заправку указанного транспорта</t>
  </si>
  <si>
    <t>ГСМ за наличный расчет/по безналичному расчету в связи с отсутствием топливной карты.</t>
  </si>
  <si>
    <t xml:space="preserve">     В рамках исполнения договора</t>
  </si>
  <si>
    <t>согласно прилагаемым чекам.</t>
  </si>
  <si>
    <t>Кассовые чеки на сумму _____ руб. прилагаются.</t>
  </si>
  <si>
    <t>____________/ _________________/                                 «____» _________________ 20 ___ г.</t>
  </si>
  <si>
    <t>(подпись)                    Ф.И.О.</t>
  </si>
  <si>
    <t>Проверено, согласовано.</t>
  </si>
  <si>
    <t>Количество израсходованного топлива соответствует норме:</t>
  </si>
  <si>
    <t>Директор Департамента обеспечения и учета ресурсов</t>
  </si>
  <si>
    <t>____________/ _________________/                                «____» _________________ 20 ___ г.</t>
  </si>
  <si>
    <t xml:space="preserve">     О выплате компенсации за оплату ГСМ</t>
  </si>
  <si>
    <r>
      <t>на (</t>
    </r>
    <r>
      <rPr>
        <i/>
        <sz val="11"/>
        <color theme="1"/>
        <rFont val="Calibri"/>
        <family val="2"/>
        <charset val="204"/>
        <scheme val="minor"/>
      </rPr>
      <t>личном, арендованном, корпоративном</t>
    </r>
    <r>
      <rPr>
        <sz val="11"/>
        <color theme="1"/>
        <rFont val="Calibri"/>
        <family val="2"/>
        <charset val="204"/>
        <scheme val="minor"/>
      </rPr>
      <t xml:space="preserve">) транспортном средстве госномер _____, </t>
    </r>
  </si>
  <si>
    <t xml:space="preserve">         </t>
  </si>
  <si>
    <t>литров.</t>
  </si>
  <si>
    <t>Общее количество топлива:</t>
  </si>
  <si>
    <t xml:space="preserve">Прошу компенсировать мне расходы на оплату ГСМ в сумме </t>
  </si>
  <si>
    <t>прилагаются.</t>
  </si>
  <si>
    <t xml:space="preserve">           </t>
  </si>
  <si>
    <t xml:space="preserve">          </t>
  </si>
  <si>
    <t>Аптеки 36.6</t>
  </si>
  <si>
    <t>№ SRV24-02-73-INC от 23.02.2024</t>
  </si>
  <si>
    <t>между ООО «Сервионика» и ООО «АПТЕКА-А.в.е-1»</t>
  </si>
  <si>
    <t>СЕ-2022-000020190</t>
  </si>
  <si>
    <t>Почта Банк</t>
  </si>
  <si>
    <t>Альфа Банк</t>
  </si>
  <si>
    <t>СЕ-2023-000027463</t>
  </si>
  <si>
    <t>СЕ-2023-000027453</t>
  </si>
  <si>
    <t>СЕ-2022-000020148</t>
  </si>
  <si>
    <t>СЕ-2022-000020206</t>
  </si>
  <si>
    <t>Бюджет проекта</t>
  </si>
  <si>
    <t>Наименование проекта</t>
  </si>
  <si>
    <t>Бюджет</t>
  </si>
  <si>
    <t>АИ-95 Фирменное, АИ-95</t>
  </si>
  <si>
    <t>№ топливной карты</t>
  </si>
  <si>
    <t>Показания одометра на начало периода</t>
  </si>
  <si>
    <t>Показания одометра на конец периода</t>
  </si>
  <si>
    <t>Месяц ПЛ</t>
  </si>
  <si>
    <t>СО ТО Почта Банк</t>
  </si>
  <si>
    <t>СЕ-2024-000032511</t>
  </si>
  <si>
    <t>СЕ-2023-000020721</t>
  </si>
  <si>
    <t>БАНК ВТБ АРМ</t>
  </si>
  <si>
    <t>Стрим ВК (ВТБ)</t>
  </si>
  <si>
    <t>СЕ-2025-000033807</t>
  </si>
  <si>
    <t>СЕ-2024-000029533</t>
  </si>
  <si>
    <t>СЕ-2025-000033697</t>
  </si>
  <si>
    <t>ПНР,монтаж киосков SAGA (ВТБ)</t>
  </si>
  <si>
    <t>ПСБ Сервис Печати</t>
  </si>
  <si>
    <t xml:space="preserve">СЕ-2024-000031880 </t>
  </si>
  <si>
    <t>Плешкову А.А.</t>
  </si>
  <si>
    <t>СЕ-2024-000030403</t>
  </si>
  <si>
    <t>Мегафон</t>
  </si>
  <si>
    <t>ВТБ Сервис Печати</t>
  </si>
  <si>
    <t>СЕ-2022-000020208</t>
  </si>
  <si>
    <t>СО ТО ВТБ (бюджет ДСДС)</t>
  </si>
  <si>
    <t>СЕ-2025-000037324</t>
  </si>
  <si>
    <t>МТС Банк</t>
  </si>
  <si>
    <t>СЕ-2025-000034193</t>
  </si>
  <si>
    <t>ЛИСТ УЧЕТА ДВИЖЕНИЯ №</t>
  </si>
  <si>
    <t>2025 г.</t>
  </si>
  <si>
    <t xml:space="preserve">    Итоговая сумма компенсации, расчитанная по формуле в соответствии с «Рабочей инструкцией о выплате</t>
  </si>
  <si>
    <t xml:space="preserve">    компенсации за использование автотранспорта в служебных целях для сотрудников ООО «Сервионика»</t>
  </si>
  <si>
    <t xml:space="preserve">    составляет </t>
  </si>
  <si>
    <t>январь</t>
  </si>
  <si>
    <t>СЕ-2025-000039114</t>
  </si>
  <si>
    <t>СЕ-2025-000039103</t>
  </si>
  <si>
    <t>СЕ-2025-000039109</t>
  </si>
  <si>
    <t>СЕ-2025-000039111</t>
  </si>
  <si>
    <t>СЕ-2025-000039112</t>
  </si>
  <si>
    <t>ПР АРМ/САМАРА</t>
  </si>
  <si>
    <t>ПР АРМ/МОСКВА</t>
  </si>
  <si>
    <t>ПР АРМ/САНКТ-ПЕТЕРБУРГ</t>
  </si>
  <si>
    <t>ПР АРМ/НОВОСИБИРСК</t>
  </si>
  <si>
    <t>ПР АРМ/ЕКАТЕРИНБУРГ</t>
  </si>
  <si>
    <t>СЕ-2025-000033887</t>
  </si>
  <si>
    <t>января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</si>
</sst>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-* #,##0.00\ &quot;₽&quot;_-;\-* #,##0.00\ &quot;₽&quot;_-;_-* &quot;-&quot;??\ &quot;₽&quot;_-;_-@_-"/>
    <numFmt numFmtId="43" formatCode="_-* #,##0.00_-;\-* #,##0.00_-;_-* &quot;-&quot;??_-;_-@_-"/>
    <numFmt numFmtId="164" formatCode="00"/>
    <numFmt numFmtId="165" formatCode="#,##0.00\ &quot;₽&quot;"/>
  </numFmts>
  <fonts count="3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1"/>
      <color theme="4" tint="-0.249977111117893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sz val="14"/>
      <name val="Calibri"/>
      <family val="2"/>
      <charset val="204"/>
      <scheme val="minor"/>
    </font>
    <font>
      <sz val="14"/>
      <name val="Calibri"/>
      <family val="2"/>
      <charset val="204"/>
    </font>
    <font>
      <sz val="11"/>
      <color rgb="FFC00000"/>
      <name val="Calibri"/>
      <family val="2"/>
      <charset val="204"/>
      <scheme val="minor"/>
    </font>
    <font>
      <sz val="10"/>
      <color rgb="FFC00000"/>
      <name val="Calibri"/>
      <family val="2"/>
      <charset val="204"/>
      <scheme val="minor"/>
    </font>
    <font>
      <sz val="14"/>
      <color rgb="FFC00000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1"/>
      <color theme="0" tint="-0.34998626667073579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sz val="11"/>
      <color indexed="37"/>
      <name val="Calibri"/>
      <family val="2"/>
      <charset val="204"/>
    </font>
    <font>
      <sz val="11"/>
      <name val="Calibri"/>
      <family val="2"/>
      <charset val="204"/>
    </font>
    <font>
      <sz val="11"/>
      <color indexed="54"/>
      <name val="Calibri"/>
      <family val="2"/>
      <charset val="204"/>
    </font>
    <font>
      <sz val="11"/>
      <color rgb="FFFF0000"/>
      <name val="Calibri"/>
      <family val="2"/>
      <charset val="204"/>
    </font>
    <font>
      <b/>
      <vertAlign val="subscript"/>
      <sz val="10"/>
      <color theme="1"/>
      <name val="Calibri"/>
      <family val="2"/>
      <charset val="204"/>
      <scheme val="minor"/>
    </font>
    <font>
      <sz val="11"/>
      <color theme="2" tint="-0.74999237037263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FFFF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i/>
      <sz val="11"/>
      <color theme="0" tint="-0.249977111117893"/>
      <name val="Calibri"/>
      <family val="2"/>
      <charset val="204"/>
    </font>
    <font>
      <i/>
      <sz val="11"/>
      <color theme="1"/>
      <name val="Calibri"/>
      <family val="2"/>
      <charset val="204"/>
      <scheme val="minor"/>
    </font>
    <font>
      <i/>
      <sz val="9"/>
      <color theme="1"/>
      <name val="Calibri"/>
      <family val="2"/>
      <charset val="204"/>
      <scheme val="minor"/>
    </font>
    <font>
      <u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27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17" fillId="0" borderId="0"/>
    <xf numFmtId="43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28" fillId="0" borderId="0"/>
  </cellStyleXfs>
  <cellXfs count="206">
    <xf numFmtId="0" fontId="0" fillId="0" borderId="0" xfId="0"/>
    <xf numFmtId="49" fontId="0" fillId="0" borderId="0" xfId="0" applyNumberFormat="1" applyAlignment="1"/>
    <xf numFmtId="49" fontId="0" fillId="0" borderId="0" xfId="0" applyNumberFormat="1"/>
    <xf numFmtId="0" fontId="0" fillId="0" borderId="5" xfId="0" applyBorder="1"/>
    <xf numFmtId="0" fontId="9" fillId="0" borderId="0" xfId="0" applyFont="1" applyAlignment="1">
      <alignment vertical="center"/>
    </xf>
    <xf numFmtId="0" fontId="0" fillId="0" borderId="0" xfId="0" applyNumberFormat="1" applyAlignment="1"/>
    <xf numFmtId="0" fontId="0" fillId="2" borderId="0" xfId="0" applyFill="1"/>
    <xf numFmtId="0" fontId="5" fillId="2" borderId="0" xfId="0" applyFont="1" applyFill="1" applyAlignment="1"/>
    <xf numFmtId="0" fontId="2" fillId="2" borderId="0" xfId="0" applyFont="1" applyFill="1" applyAlignment="1"/>
    <xf numFmtId="0" fontId="0" fillId="2" borderId="0" xfId="0" applyFill="1" applyAlignment="1">
      <alignment horizontal="left"/>
    </xf>
    <xf numFmtId="0" fontId="0" fillId="2" borderId="0" xfId="0" applyFill="1" applyAlignment="1"/>
    <xf numFmtId="0" fontId="13" fillId="2" borderId="0" xfId="0" applyFont="1" applyFill="1"/>
    <xf numFmtId="4" fontId="5" fillId="2" borderId="0" xfId="0" applyNumberFormat="1" applyFont="1" applyFill="1" applyAlignment="1"/>
    <xf numFmtId="4" fontId="10" fillId="2" borderId="0" xfId="0" applyNumberFormat="1" applyFont="1" applyFill="1" applyAlignment="1">
      <alignment horizontal="center"/>
    </xf>
    <xf numFmtId="4" fontId="6" fillId="2" borderId="0" xfId="0" applyNumberFormat="1" applyFont="1" applyFill="1" applyAlignment="1"/>
    <xf numFmtId="0" fontId="0" fillId="2" borderId="0" xfId="0" applyFill="1" applyBorder="1"/>
    <xf numFmtId="0" fontId="0" fillId="2" borderId="5" xfId="0" applyFill="1" applyBorder="1"/>
    <xf numFmtId="0" fontId="0" fillId="2" borderId="0" xfId="0" applyFill="1" applyAlignment="1">
      <alignment horizontal="right"/>
    </xf>
    <xf numFmtId="0" fontId="1" fillId="2" borderId="0" xfId="0" applyFont="1" applyFill="1"/>
    <xf numFmtId="0" fontId="15" fillId="2" borderId="0" xfId="0" applyFont="1" applyFill="1"/>
    <xf numFmtId="0" fontId="0" fillId="2" borderId="0" xfId="0" applyFill="1" applyBorder="1" applyAlignment="1">
      <alignment horizontal="left"/>
    </xf>
    <xf numFmtId="0" fontId="0" fillId="0" borderId="0" xfId="0" applyFill="1"/>
    <xf numFmtId="0" fontId="0" fillId="0" borderId="1" xfId="0" applyBorder="1"/>
    <xf numFmtId="14" fontId="0" fillId="0" borderId="1" xfId="0" applyNumberFormat="1" applyBorder="1"/>
    <xf numFmtId="0" fontId="4" fillId="0" borderId="1" xfId="0" applyNumberFormat="1" applyFont="1" applyBorder="1" applyAlignment="1">
      <alignment horizontal="center" vertical="center"/>
    </xf>
    <xf numFmtId="1" fontId="0" fillId="0" borderId="0" xfId="0" applyNumberFormat="1" applyFont="1" applyAlignment="1">
      <alignment horizontal="left"/>
    </xf>
    <xf numFmtId="0" fontId="0" fillId="0" borderId="0" xfId="0" applyNumberFormat="1" applyFont="1" applyAlignment="1"/>
    <xf numFmtId="0" fontId="0" fillId="2" borderId="0" xfId="0" applyFont="1" applyFill="1" applyAlignment="1">
      <alignment horizontal="left"/>
    </xf>
    <xf numFmtId="0" fontId="0" fillId="2" borderId="6" xfId="0" applyFont="1" applyFill="1" applyBorder="1" applyAlignment="1">
      <alignment horizontal="left"/>
    </xf>
    <xf numFmtId="14" fontId="4" fillId="0" borderId="1" xfId="0" applyNumberFormat="1" applyFont="1" applyBorder="1" applyAlignment="1">
      <alignment horizontal="center" vertical="center"/>
    </xf>
    <xf numFmtId="0" fontId="0" fillId="2" borderId="6" xfId="0" applyFill="1" applyBorder="1" applyAlignment="1">
      <alignment horizontal="left"/>
    </xf>
    <xf numFmtId="4" fontId="0" fillId="0" borderId="1" xfId="0" applyNumberFormat="1" applyBorder="1" applyAlignment="1">
      <alignment horizontal="right"/>
    </xf>
    <xf numFmtId="0" fontId="0" fillId="0" borderId="1" xfId="0" applyBorder="1" applyAlignment="1">
      <alignment wrapText="1"/>
    </xf>
    <xf numFmtId="0" fontId="17" fillId="3" borderId="0" xfId="1" applyFill="1"/>
    <xf numFmtId="0" fontId="4" fillId="0" borderId="1" xfId="0" applyNumberFormat="1" applyFont="1" applyBorder="1" applyAlignment="1">
      <alignment horizontal="center" vertical="center" wrapText="1"/>
    </xf>
    <xf numFmtId="0" fontId="14" fillId="2" borderId="0" xfId="0" applyFont="1" applyFill="1" applyAlignment="1"/>
    <xf numFmtId="0" fontId="10" fillId="2" borderId="5" xfId="0" applyNumberFormat="1" applyFont="1" applyFill="1" applyBorder="1" applyAlignment="1">
      <alignment horizontal="right"/>
    </xf>
    <xf numFmtId="0" fontId="6" fillId="2" borderId="5" xfId="0" applyFont="1" applyFill="1" applyBorder="1" applyAlignment="1"/>
    <xf numFmtId="0" fontId="0" fillId="2" borderId="5" xfId="0" applyFill="1" applyBorder="1" applyAlignment="1"/>
    <xf numFmtId="0" fontId="5" fillId="2" borderId="5" xfId="0" applyFont="1" applyFill="1" applyBorder="1" applyAlignment="1"/>
    <xf numFmtId="0" fontId="0" fillId="2" borderId="5" xfId="0" applyFill="1" applyBorder="1" applyAlignment="1">
      <alignment horizontal="left"/>
    </xf>
    <xf numFmtId="0" fontId="14" fillId="2" borderId="0" xfId="0" applyFont="1" applyFill="1"/>
    <xf numFmtId="0" fontId="21" fillId="3" borderId="0" xfId="1" applyFont="1" applyFill="1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14" fontId="4" fillId="0" borderId="2" xfId="0" applyNumberFormat="1" applyFont="1" applyBorder="1" applyAlignment="1">
      <alignment horizontal="center" vertical="center" wrapText="1"/>
    </xf>
    <xf numFmtId="0" fontId="0" fillId="0" borderId="5" xfId="0" applyBorder="1" applyAlignment="1">
      <alignment wrapText="1"/>
    </xf>
    <xf numFmtId="0" fontId="17" fillId="3" borderId="0" xfId="1" applyFill="1" applyAlignment="1">
      <alignment horizontal="left" vertical="top"/>
    </xf>
    <xf numFmtId="4" fontId="19" fillId="3" borderId="0" xfId="1" applyNumberFormat="1" applyFont="1" applyFill="1" applyAlignment="1">
      <alignment horizontal="left" vertical="top"/>
    </xf>
    <xf numFmtId="4" fontId="20" fillId="3" borderId="0" xfId="1" applyNumberFormat="1" applyFont="1" applyFill="1" applyAlignment="1">
      <alignment horizontal="left" vertical="top"/>
    </xf>
    <xf numFmtId="4" fontId="19" fillId="3" borderId="5" xfId="1" applyNumberFormat="1" applyFont="1" applyFill="1" applyBorder="1" applyAlignment="1">
      <alignment horizontal="left" vertical="top"/>
    </xf>
    <xf numFmtId="0" fontId="17" fillId="3" borderId="5" xfId="1" applyFill="1" applyBorder="1"/>
    <xf numFmtId="0" fontId="0" fillId="2" borderId="4" xfId="0" applyFill="1" applyBorder="1" applyAlignment="1">
      <alignment horizontal="center" vertical="center"/>
    </xf>
    <xf numFmtId="0" fontId="23" fillId="5" borderId="0" xfId="0" applyFont="1" applyFill="1"/>
    <xf numFmtId="0" fontId="0" fillId="6" borderId="1" xfId="0" applyFill="1" applyBorder="1"/>
    <xf numFmtId="49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7" xfId="0" applyBorder="1"/>
    <xf numFmtId="14" fontId="0" fillId="0" borderId="7" xfId="0" applyNumberFormat="1" applyBorder="1"/>
    <xf numFmtId="4" fontId="0" fillId="0" borderId="7" xfId="0" applyNumberFormat="1" applyBorder="1" applyAlignment="1">
      <alignment horizontal="right"/>
    </xf>
    <xf numFmtId="0" fontId="0" fillId="6" borderId="8" xfId="0" applyFill="1" applyBorder="1"/>
    <xf numFmtId="0" fontId="0" fillId="6" borderId="9" xfId="0" applyFill="1" applyBorder="1"/>
    <xf numFmtId="0" fontId="0" fillId="6" borderId="11" xfId="0" applyFill="1" applyBorder="1"/>
    <xf numFmtId="0" fontId="0" fillId="6" borderId="13" xfId="0" applyFill="1" applyBorder="1"/>
    <xf numFmtId="0" fontId="0" fillId="6" borderId="14" xfId="0" applyFill="1" applyBorder="1"/>
    <xf numFmtId="44" fontId="0" fillId="6" borderId="10" xfId="3" applyNumberFormat="1" applyFont="1" applyFill="1" applyBorder="1"/>
    <xf numFmtId="44" fontId="0" fillId="6" borderId="12" xfId="3" applyNumberFormat="1" applyFont="1" applyFill="1" applyBorder="1"/>
    <xf numFmtId="44" fontId="0" fillId="6" borderId="15" xfId="3" applyNumberFormat="1" applyFont="1" applyFill="1" applyBorder="1"/>
    <xf numFmtId="43" fontId="0" fillId="6" borderId="9" xfId="2" applyFont="1" applyFill="1" applyBorder="1"/>
    <xf numFmtId="43" fontId="0" fillId="6" borderId="1" xfId="2" applyFont="1" applyFill="1" applyBorder="1"/>
    <xf numFmtId="43" fontId="0" fillId="6" borderId="14" xfId="2" applyFont="1" applyFill="1" applyBorder="1"/>
    <xf numFmtId="0" fontId="25" fillId="0" borderId="0" xfId="4" applyAlignment="1">
      <alignment horizontal="left"/>
    </xf>
    <xf numFmtId="0" fontId="26" fillId="0" borderId="0" xfId="4" applyFont="1" applyAlignment="1">
      <alignment horizontal="left"/>
    </xf>
    <xf numFmtId="0" fontId="27" fillId="2" borderId="0" xfId="0" applyFont="1" applyFill="1"/>
    <xf numFmtId="0" fontId="0" fillId="2" borderId="0" xfId="0" applyFont="1" applyFill="1" applyAlignment="1"/>
    <xf numFmtId="0" fontId="27" fillId="0" borderId="0" xfId="0" applyFont="1"/>
    <xf numFmtId="0" fontId="2" fillId="2" borderId="0" xfId="0" applyFont="1" applyFill="1"/>
    <xf numFmtId="0" fontId="5" fillId="2" borderId="0" xfId="0" applyFont="1" applyFill="1"/>
    <xf numFmtId="0" fontId="0" fillId="0" borderId="0" xfId="0" applyAlignment="1">
      <alignment vertical="top"/>
    </xf>
    <xf numFmtId="0" fontId="4" fillId="0" borderId="1" xfId="0" applyNumberFormat="1" applyFont="1" applyBorder="1" applyAlignment="1">
      <alignment horizontal="center" vertical="center"/>
    </xf>
    <xf numFmtId="0" fontId="4" fillId="0" borderId="1" xfId="0" applyNumberFormat="1" applyFont="1" applyBorder="1" applyAlignment="1">
      <alignment horizontal="center" vertical="center"/>
    </xf>
    <xf numFmtId="0" fontId="14" fillId="0" borderId="0" xfId="0" applyFont="1" applyFill="1"/>
    <xf numFmtId="49" fontId="14" fillId="0" borderId="0" xfId="0" applyNumberFormat="1" applyFont="1" applyFill="1"/>
    <xf numFmtId="0" fontId="15" fillId="8" borderId="0" xfId="0" applyFont="1" applyFill="1"/>
    <xf numFmtId="0" fontId="15" fillId="0" borderId="0" xfId="0" applyFont="1" applyFill="1"/>
    <xf numFmtId="49" fontId="15" fillId="8" borderId="0" xfId="0" applyNumberFormat="1" applyFont="1" applyFill="1"/>
    <xf numFmtId="49" fontId="15" fillId="0" borderId="0" xfId="0" applyNumberFormat="1" applyFont="1" applyFill="1"/>
    <xf numFmtId="14" fontId="15" fillId="0" borderId="0" xfId="0" applyNumberFormat="1" applyFont="1" applyFill="1" applyAlignment="1">
      <alignment horizontal="left" vertical="center"/>
    </xf>
    <xf numFmtId="0" fontId="15" fillId="0" borderId="0" xfId="0" applyFont="1" applyFill="1" applyAlignment="1">
      <alignment horizontal="left" vertical="center"/>
    </xf>
    <xf numFmtId="0" fontId="15" fillId="0" borderId="0" xfId="0" applyNumberFormat="1" applyFont="1" applyFill="1" applyAlignment="1">
      <alignment horizontal="left" vertical="center"/>
    </xf>
    <xf numFmtId="1" fontId="15" fillId="0" borderId="0" xfId="0" applyNumberFormat="1" applyFont="1" applyFill="1" applyAlignment="1">
      <alignment horizontal="left" vertical="center"/>
    </xf>
    <xf numFmtId="0" fontId="33" fillId="0" borderId="0" xfId="0" applyFont="1"/>
    <xf numFmtId="14" fontId="33" fillId="0" borderId="0" xfId="0" applyNumberFormat="1" applyFont="1"/>
    <xf numFmtId="4" fontId="33" fillId="0" borderId="0" xfId="0" applyNumberFormat="1" applyFont="1"/>
    <xf numFmtId="0" fontId="33" fillId="0" borderId="0" xfId="0" applyFont="1" applyFill="1" applyBorder="1"/>
    <xf numFmtId="0" fontId="4" fillId="0" borderId="2" xfId="0" applyNumberFormat="1" applyFont="1" applyFill="1" applyBorder="1" applyAlignment="1" applyProtection="1">
      <alignment horizontal="center" vertical="center"/>
      <protection locked="0"/>
    </xf>
    <xf numFmtId="0" fontId="4" fillId="0" borderId="3" xfId="0" applyNumberFormat="1" applyFont="1" applyFill="1" applyBorder="1" applyAlignment="1" applyProtection="1">
      <alignment horizontal="center" vertical="center"/>
      <protection locked="0"/>
    </xf>
    <xf numFmtId="0" fontId="4" fillId="0" borderId="4" xfId="0" applyNumberFormat="1" applyFont="1" applyFill="1" applyBorder="1" applyAlignment="1" applyProtection="1">
      <alignment horizontal="center" vertical="center"/>
      <protection locked="0"/>
    </xf>
    <xf numFmtId="0" fontId="4" fillId="0" borderId="1" xfId="0" applyNumberFormat="1" applyFont="1" applyBorder="1" applyAlignment="1" applyProtection="1">
      <alignment horizontal="center" vertical="center"/>
      <protection locked="0"/>
    </xf>
    <xf numFmtId="0" fontId="11" fillId="0" borderId="2" xfId="0" applyNumberFormat="1" applyFont="1" applyBorder="1" applyAlignment="1" applyProtection="1">
      <alignment horizontal="center" vertical="center"/>
    </xf>
    <xf numFmtId="0" fontId="11" fillId="0" borderId="3" xfId="0" applyNumberFormat="1" applyFont="1" applyBorder="1" applyAlignment="1" applyProtection="1">
      <alignment horizontal="center" vertical="center"/>
    </xf>
    <xf numFmtId="0" fontId="11" fillId="0" borderId="4" xfId="0" applyNumberFormat="1" applyFont="1" applyBorder="1" applyAlignment="1" applyProtection="1">
      <alignment horizontal="center" vertical="center"/>
    </xf>
    <xf numFmtId="0" fontId="3" fillId="0" borderId="2" xfId="0" applyNumberFormat="1" applyFont="1" applyBorder="1" applyAlignment="1" applyProtection="1">
      <alignment horizontal="left" vertical="center" wrapText="1"/>
      <protection locked="0"/>
    </xf>
    <xf numFmtId="0" fontId="3" fillId="0" borderId="3" xfId="0" applyNumberFormat="1" applyFont="1" applyBorder="1" applyAlignment="1" applyProtection="1">
      <alignment horizontal="left" vertical="center" wrapText="1"/>
      <protection locked="0"/>
    </xf>
    <xf numFmtId="0" fontId="3" fillId="0" borderId="4" xfId="0" applyNumberFormat="1" applyFont="1" applyBorder="1" applyAlignment="1" applyProtection="1">
      <alignment horizontal="left" vertical="center" wrapText="1"/>
      <protection locked="0"/>
    </xf>
    <xf numFmtId="0" fontId="4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3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4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2" xfId="0" applyNumberFormat="1" applyFont="1" applyFill="1" applyBorder="1" applyAlignment="1" applyProtection="1">
      <alignment horizontal="left" vertical="center" wrapText="1"/>
      <protection locked="0"/>
    </xf>
    <xf numFmtId="0" fontId="3" fillId="0" borderId="3" xfId="0" applyNumberFormat="1" applyFont="1" applyFill="1" applyBorder="1" applyAlignment="1" applyProtection="1">
      <alignment horizontal="left" vertical="center" wrapText="1"/>
      <protection locked="0"/>
    </xf>
    <xf numFmtId="0" fontId="3" fillId="0" borderId="4" xfId="0" applyNumberFormat="1" applyFont="1" applyFill="1" applyBorder="1" applyAlignment="1" applyProtection="1">
      <alignment horizontal="left" vertical="center" wrapText="1"/>
      <protection locked="0"/>
    </xf>
    <xf numFmtId="0" fontId="4" fillId="0" borderId="2" xfId="0" applyNumberFormat="1" applyFont="1" applyBorder="1" applyAlignment="1">
      <alignment horizontal="center" vertical="center" wrapText="1"/>
    </xf>
    <xf numFmtId="0" fontId="4" fillId="0" borderId="3" xfId="0" applyNumberFormat="1" applyFont="1" applyBorder="1" applyAlignment="1">
      <alignment horizontal="center" vertical="center" wrapText="1"/>
    </xf>
    <xf numFmtId="0" fontId="4" fillId="0" borderId="4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/>
    </xf>
    <xf numFmtId="0" fontId="3" fillId="0" borderId="6" xfId="0" applyFont="1" applyBorder="1" applyAlignment="1">
      <alignment horizontal="center" wrapText="1"/>
    </xf>
    <xf numFmtId="0" fontId="3" fillId="0" borderId="0" xfId="0" applyFont="1" applyBorder="1" applyAlignment="1">
      <alignment horizontal="center" wrapText="1"/>
    </xf>
    <xf numFmtId="0" fontId="0" fillId="0" borderId="2" xfId="0" applyNumberFormat="1" applyBorder="1" applyAlignment="1">
      <alignment horizontal="center" vertical="center"/>
    </xf>
    <xf numFmtId="0" fontId="0" fillId="0" borderId="3" xfId="0" applyNumberFormat="1" applyBorder="1" applyAlignment="1">
      <alignment horizontal="center" vertical="center"/>
    </xf>
    <xf numFmtId="0" fontId="0" fillId="0" borderId="4" xfId="0" applyNumberFormat="1" applyBorder="1" applyAlignment="1">
      <alignment horizontal="center" vertical="center"/>
    </xf>
    <xf numFmtId="0" fontId="10" fillId="0" borderId="2" xfId="0" applyNumberFormat="1" applyFont="1" applyBorder="1" applyAlignment="1">
      <alignment horizontal="center" vertical="center"/>
    </xf>
    <xf numFmtId="0" fontId="10" fillId="0" borderId="3" xfId="0" applyNumberFormat="1" applyFont="1" applyBorder="1" applyAlignment="1">
      <alignment horizontal="center" vertical="center"/>
    </xf>
    <xf numFmtId="0" fontId="10" fillId="0" borderId="4" xfId="0" applyNumberFormat="1" applyFont="1" applyBorder="1" applyAlignment="1">
      <alignment horizontal="center" vertical="center"/>
    </xf>
    <xf numFmtId="0" fontId="0" fillId="4" borderId="6" xfId="0" applyFill="1" applyBorder="1" applyAlignment="1">
      <alignment horizontal="center"/>
    </xf>
    <xf numFmtId="0" fontId="10" fillId="4" borderId="2" xfId="0" applyNumberFormat="1" applyFont="1" applyFill="1" applyBorder="1" applyAlignment="1">
      <alignment horizontal="center" vertical="center"/>
    </xf>
    <xf numFmtId="0" fontId="10" fillId="4" borderId="3" xfId="0" applyNumberFormat="1" applyFont="1" applyFill="1" applyBorder="1" applyAlignment="1">
      <alignment horizontal="center" vertical="center"/>
    </xf>
    <xf numFmtId="0" fontId="10" fillId="4" borderId="4" xfId="0" applyNumberFormat="1" applyFont="1" applyFill="1" applyBorder="1" applyAlignment="1">
      <alignment horizontal="center" vertical="center"/>
    </xf>
    <xf numFmtId="0" fontId="4" fillId="4" borderId="2" xfId="0" applyNumberFormat="1" applyFont="1" applyFill="1" applyBorder="1" applyAlignment="1">
      <alignment horizontal="center" vertical="center"/>
    </xf>
    <xf numFmtId="0" fontId="4" fillId="4" borderId="3" xfId="0" applyNumberFormat="1" applyFont="1" applyFill="1" applyBorder="1" applyAlignment="1">
      <alignment horizontal="center" vertical="center"/>
    </xf>
    <xf numFmtId="0" fontId="4" fillId="4" borderId="4" xfId="0" applyNumberFormat="1" applyFont="1" applyFill="1" applyBorder="1" applyAlignment="1">
      <alignment horizontal="center" vertical="center"/>
    </xf>
    <xf numFmtId="0" fontId="4" fillId="4" borderId="2" xfId="0" applyNumberFormat="1" applyFont="1" applyFill="1" applyBorder="1" applyAlignment="1">
      <alignment horizontal="center" vertical="center" wrapText="1"/>
    </xf>
    <xf numFmtId="0" fontId="4" fillId="4" borderId="3" xfId="0" applyNumberFormat="1" applyFont="1" applyFill="1" applyBorder="1" applyAlignment="1">
      <alignment horizontal="center" vertical="center" wrapText="1"/>
    </xf>
    <xf numFmtId="0" fontId="4" fillId="4" borderId="4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left" vertical="center"/>
    </xf>
    <xf numFmtId="0" fontId="4" fillId="0" borderId="3" xfId="0" applyNumberFormat="1" applyFont="1" applyBorder="1" applyAlignment="1">
      <alignment horizontal="left" vertical="center"/>
    </xf>
    <xf numFmtId="0" fontId="4" fillId="0" borderId="4" xfId="0" applyNumberFormat="1" applyFont="1" applyBorder="1" applyAlignment="1">
      <alignment horizontal="left" vertical="center"/>
    </xf>
    <xf numFmtId="0" fontId="4" fillId="0" borderId="1" xfId="0" applyNumberFormat="1" applyFont="1" applyBorder="1" applyAlignment="1">
      <alignment horizontal="left" vertical="center" wrapText="1"/>
    </xf>
    <xf numFmtId="0" fontId="4" fillId="0" borderId="2" xfId="0" applyNumberFormat="1" applyFont="1" applyBorder="1" applyAlignment="1" applyProtection="1">
      <alignment horizontal="center" vertical="center" wrapText="1"/>
      <protection locked="0"/>
    </xf>
    <xf numFmtId="0" fontId="4" fillId="0" borderId="3" xfId="0" applyNumberFormat="1" applyFont="1" applyBorder="1" applyAlignment="1" applyProtection="1">
      <alignment horizontal="center" vertical="center" wrapText="1"/>
      <protection locked="0"/>
    </xf>
    <xf numFmtId="0" fontId="4" fillId="0" borderId="4" xfId="0" applyNumberFormat="1" applyFont="1" applyBorder="1" applyAlignment="1" applyProtection="1">
      <alignment horizontal="center" vertical="center" wrapText="1"/>
      <protection locked="0"/>
    </xf>
    <xf numFmtId="0" fontId="4" fillId="0" borderId="2" xfId="0" applyNumberFormat="1" applyFont="1" applyBorder="1" applyAlignment="1">
      <alignment horizontal="left" vertical="center" wrapText="1"/>
    </xf>
    <xf numFmtId="0" fontId="4" fillId="0" borderId="3" xfId="0" applyNumberFormat="1" applyFont="1" applyBorder="1" applyAlignment="1">
      <alignment horizontal="left" vertical="center" wrapText="1"/>
    </xf>
    <xf numFmtId="0" fontId="4" fillId="0" borderId="4" xfId="0" applyNumberFormat="1" applyFont="1" applyBorder="1" applyAlignment="1">
      <alignment horizontal="left" vertical="center" wrapText="1"/>
    </xf>
    <xf numFmtId="0" fontId="4" fillId="0" borderId="1" xfId="0" applyNumberFormat="1" applyFont="1" applyBorder="1" applyAlignment="1">
      <alignment horizontal="center" vertical="center"/>
    </xf>
    <xf numFmtId="49" fontId="0" fillId="0" borderId="0" xfId="0" applyNumberFormat="1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2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center"/>
    </xf>
    <xf numFmtId="0" fontId="12" fillId="0" borderId="0" xfId="0" applyFont="1" applyAlignment="1">
      <alignment horizontal="right" vertical="center"/>
    </xf>
    <xf numFmtId="164" fontId="12" fillId="0" borderId="0" xfId="0" applyNumberFormat="1" applyFont="1" applyAlignment="1">
      <alignment horizontal="center" vertical="center"/>
    </xf>
    <xf numFmtId="0" fontId="16" fillId="4" borderId="2" xfId="0" applyNumberFormat="1" applyFont="1" applyFill="1" applyBorder="1" applyAlignment="1">
      <alignment horizontal="center" vertical="center" wrapText="1"/>
    </xf>
    <xf numFmtId="0" fontId="16" fillId="4" borderId="3" xfId="0" applyNumberFormat="1" applyFont="1" applyFill="1" applyBorder="1" applyAlignment="1">
      <alignment horizontal="center" vertical="center" wrapText="1"/>
    </xf>
    <xf numFmtId="0" fontId="16" fillId="4" borderId="4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right" vertical="center"/>
    </xf>
    <xf numFmtId="0" fontId="0" fillId="0" borderId="5" xfId="0" applyBorder="1" applyAlignment="1">
      <alignment horizontal="center"/>
    </xf>
    <xf numFmtId="1" fontId="4" fillId="4" borderId="3" xfId="0" applyNumberFormat="1" applyFont="1" applyFill="1" applyBorder="1" applyAlignment="1">
      <alignment horizontal="center" vertical="center" wrapText="1"/>
    </xf>
    <xf numFmtId="1" fontId="4" fillId="4" borderId="4" xfId="0" applyNumberFormat="1" applyFont="1" applyFill="1" applyBorder="1" applyAlignment="1">
      <alignment horizontal="center" vertical="center" wrapText="1"/>
    </xf>
    <xf numFmtId="165" fontId="0" fillId="2" borderId="1" xfId="0" applyNumberFormat="1" applyFill="1" applyBorder="1" applyAlignment="1">
      <alignment horizontal="center"/>
    </xf>
    <xf numFmtId="165" fontId="0" fillId="2" borderId="2" xfId="0" applyNumberForma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165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4" fillId="2" borderId="0" xfId="0" applyFont="1" applyFill="1" applyAlignment="1">
      <alignment horizontal="left" vertical="top" wrapText="1"/>
    </xf>
    <xf numFmtId="0" fontId="7" fillId="2" borderId="2" xfId="0" applyFont="1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49" fontId="0" fillId="2" borderId="5" xfId="0" applyNumberFormat="1" applyFill="1" applyBorder="1" applyAlignment="1">
      <alignment horizontal="center"/>
    </xf>
    <xf numFmtId="0" fontId="0" fillId="2" borderId="5" xfId="0" applyFont="1" applyFill="1" applyBorder="1" applyAlignment="1">
      <alignment horizontal="center"/>
    </xf>
    <xf numFmtId="0" fontId="0" fillId="2" borderId="0" xfId="0" applyFill="1" applyBorder="1" applyAlignment="1">
      <alignment horizontal="left"/>
    </xf>
    <xf numFmtId="1" fontId="4" fillId="2" borderId="5" xfId="0" applyNumberFormat="1" applyFont="1" applyFill="1" applyBorder="1" applyAlignment="1">
      <alignment horizontal="left" vertical="center"/>
    </xf>
    <xf numFmtId="0" fontId="0" fillId="2" borderId="3" xfId="0" applyFont="1" applyFill="1" applyBorder="1" applyAlignment="1">
      <alignment horizontal="center"/>
    </xf>
    <xf numFmtId="0" fontId="14" fillId="2" borderId="5" xfId="0" applyFont="1" applyFill="1" applyBorder="1" applyAlignment="1">
      <alignment horizontal="center"/>
    </xf>
    <xf numFmtId="0" fontId="17" fillId="3" borderId="0" xfId="1" applyFill="1" applyAlignment="1">
      <alignment horizontal="left" vertical="top" wrapText="1"/>
    </xf>
    <xf numFmtId="4" fontId="18" fillId="3" borderId="5" xfId="1" applyNumberFormat="1" applyFont="1" applyFill="1" applyBorder="1" applyAlignment="1">
      <alignment horizontal="left" vertical="top"/>
    </xf>
    <xf numFmtId="1" fontId="10" fillId="2" borderId="5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4" fontId="10" fillId="2" borderId="0" xfId="0" applyNumberFormat="1" applyFont="1" applyFill="1" applyAlignment="1">
      <alignment horizontal="left"/>
    </xf>
    <xf numFmtId="4" fontId="10" fillId="2" borderId="5" xfId="0" applyNumberFormat="1" applyFont="1" applyFill="1" applyBorder="1" applyAlignment="1">
      <alignment horizontal="center"/>
    </xf>
    <xf numFmtId="0" fontId="1" fillId="2" borderId="3" xfId="0" applyFont="1" applyFill="1" applyBorder="1" applyAlignment="1">
      <alignment horizontal="right"/>
    </xf>
    <xf numFmtId="0" fontId="1" fillId="2" borderId="4" xfId="0" applyFont="1" applyFill="1" applyBorder="1" applyAlignment="1">
      <alignment horizontal="right"/>
    </xf>
    <xf numFmtId="0" fontId="25" fillId="0" borderId="0" xfId="4" applyAlignment="1">
      <alignment horizontal="left"/>
    </xf>
    <xf numFmtId="0" fontId="0" fillId="2" borderId="0" xfId="0" applyFont="1" applyFill="1" applyAlignment="1">
      <alignment horizontal="center"/>
    </xf>
    <xf numFmtId="0" fontId="29" fillId="0" borderId="0" xfId="5" applyFont="1" applyBorder="1"/>
    <xf numFmtId="0" fontId="29" fillId="0" borderId="0" xfId="5" applyFont="1" applyBorder="1" applyAlignment="1">
      <alignment horizontal="right"/>
    </xf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left"/>
    </xf>
    <xf numFmtId="0" fontId="31" fillId="2" borderId="0" xfId="0" applyFont="1" applyFill="1" applyAlignment="1">
      <alignment horizontal="left"/>
    </xf>
    <xf numFmtId="0" fontId="0" fillId="0" borderId="0" xfId="0" applyAlignment="1">
      <alignment horizontal="center" vertical="top"/>
    </xf>
    <xf numFmtId="0" fontId="32" fillId="7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0" fontId="0" fillId="2" borderId="0" xfId="0" applyFill="1" applyAlignment="1">
      <alignment horizontal="center"/>
    </xf>
    <xf numFmtId="1" fontId="12" fillId="0" borderId="0" xfId="0" applyNumberFormat="1" applyFont="1" applyAlignment="1">
      <alignment horizontal="left" vertical="center"/>
    </xf>
  </cellXfs>
  <cellStyles count="6">
    <cellStyle name="Excel Built-in Normal" xfId="1"/>
    <cellStyle name="Обычный" xfId="0" builtinId="0"/>
    <cellStyle name="Обычный 2" xfId="4"/>
    <cellStyle name="Обычный 3" xfId="5"/>
    <cellStyle name="Процентный" xfId="3" builtinId="5"/>
    <cellStyle name="Финансовый" xfId="2" builtinId="3"/>
  </cellStyles>
  <dxfs count="29">
    <dxf>
      <font>
        <b/>
        <i val="0"/>
        <strike/>
        <color theme="0"/>
      </font>
      <fill>
        <patternFill>
          <bgColor theme="5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numFmt numFmtId="4" formatCode="#,##0.00"/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numFmt numFmtId="19" formatCode="dd/mm/yyyy"/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 tint="-0.34998626667073579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 tint="-0.34998626667073579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 tint="-0.34998626667073579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 tint="-0.34998626667073579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 tint="-0.34998626667073579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 tint="-0.34998626667073579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 tint="-0.34998626667073579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 tint="-0.34998626667073579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 tint="-0.34998626667073579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 tint="-0.34998626667073579"/>
        <name val="Calibri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 tint="-0.34998626667073579"/>
        <name val="Calibri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 tint="-0.34998626667073579"/>
        <name val="Calibri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 tint="-0.34998626667073579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 tint="-0.34998626667073579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808080"/>
      <color rgb="FF9966FF"/>
      <color rgb="FF33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37</xdr:col>
      <xdr:colOff>0</xdr:colOff>
      <xdr:row>44</xdr:row>
      <xdr:rowOff>0</xdr:rowOff>
    </xdr:from>
    <xdr:ext cx="914400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8591550" y="3538537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38</xdr:col>
      <xdr:colOff>0</xdr:colOff>
      <xdr:row>42</xdr:row>
      <xdr:rowOff>61912</xdr:rowOff>
    </xdr:from>
    <xdr:ext cx="914400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781925" y="5062537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ru-RU" sz="1100"/>
        </a:p>
      </xdr:txBody>
    </xdr:sp>
    <xdr:clientData/>
  </xdr:oneCellAnchor>
  <xdr:twoCellAnchor>
    <xdr:from>
      <xdr:col>37</xdr:col>
      <xdr:colOff>0</xdr:colOff>
      <xdr:row>45</xdr:row>
      <xdr:rowOff>47625</xdr:rowOff>
    </xdr:from>
    <xdr:to>
      <xdr:col>39</xdr:col>
      <xdr:colOff>66675</xdr:colOff>
      <xdr:row>46</xdr:row>
      <xdr:rowOff>152400</xdr:rowOff>
    </xdr:to>
    <xdr:sp macro="" textlink="">
      <xdr:nvSpPr>
        <xdr:cNvPr id="7" name="TextBox 4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ChangeArrowheads="1"/>
        </xdr:cNvSpPr>
      </xdr:nvSpPr>
      <xdr:spPr bwMode="auto">
        <a:xfrm>
          <a:off x="7772400" y="8972550"/>
          <a:ext cx="857250" cy="3048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38</xdr:col>
      <xdr:colOff>19050</xdr:colOff>
      <xdr:row>41</xdr:row>
      <xdr:rowOff>104775</xdr:rowOff>
    </xdr:from>
    <xdr:to>
      <xdr:col>39</xdr:col>
      <xdr:colOff>276225</xdr:colOff>
      <xdr:row>43</xdr:row>
      <xdr:rowOff>19050</xdr:rowOff>
    </xdr:to>
    <xdr:sp macro="" textlink="">
      <xdr:nvSpPr>
        <xdr:cNvPr id="8" name="TextBox 2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>
          <a:spLocks noChangeArrowheads="1"/>
        </xdr:cNvSpPr>
      </xdr:nvSpPr>
      <xdr:spPr bwMode="auto">
        <a:xfrm>
          <a:off x="7981950" y="7839075"/>
          <a:ext cx="857250" cy="3714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37</xdr:col>
      <xdr:colOff>0</xdr:colOff>
      <xdr:row>13</xdr:row>
      <xdr:rowOff>0</xdr:rowOff>
    </xdr:from>
    <xdr:ext cx="914400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22202775" y="228600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37</xdr:col>
      <xdr:colOff>0</xdr:colOff>
      <xdr:row>14</xdr:row>
      <xdr:rowOff>0</xdr:rowOff>
    </xdr:from>
    <xdr:ext cx="914400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22202775" y="247650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37</xdr:col>
      <xdr:colOff>0</xdr:colOff>
      <xdr:row>15</xdr:row>
      <xdr:rowOff>0</xdr:rowOff>
    </xdr:from>
    <xdr:ext cx="91440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22202775" y="266700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37</xdr:col>
      <xdr:colOff>0</xdr:colOff>
      <xdr:row>16</xdr:row>
      <xdr:rowOff>0</xdr:rowOff>
    </xdr:from>
    <xdr:ext cx="914400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 txBox="1"/>
      </xdr:nvSpPr>
      <xdr:spPr>
        <a:xfrm>
          <a:off x="22202775" y="285750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37</xdr:col>
      <xdr:colOff>0</xdr:colOff>
      <xdr:row>17</xdr:row>
      <xdr:rowOff>0</xdr:rowOff>
    </xdr:from>
    <xdr:ext cx="914400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 txBox="1"/>
      </xdr:nvSpPr>
      <xdr:spPr>
        <a:xfrm>
          <a:off x="22202775" y="304800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37</xdr:col>
      <xdr:colOff>0</xdr:colOff>
      <xdr:row>18</xdr:row>
      <xdr:rowOff>0</xdr:rowOff>
    </xdr:from>
    <xdr:ext cx="914400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 txBox="1"/>
      </xdr:nvSpPr>
      <xdr:spPr>
        <a:xfrm>
          <a:off x="22202775" y="323850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37</xdr:col>
      <xdr:colOff>0</xdr:colOff>
      <xdr:row>19</xdr:row>
      <xdr:rowOff>0</xdr:rowOff>
    </xdr:from>
    <xdr:ext cx="914400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 txBox="1"/>
      </xdr:nvSpPr>
      <xdr:spPr>
        <a:xfrm>
          <a:off x="6762750" y="3590925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37</xdr:col>
      <xdr:colOff>0</xdr:colOff>
      <xdr:row>20</xdr:row>
      <xdr:rowOff>0</xdr:rowOff>
    </xdr:from>
    <xdr:ext cx="914400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 txBox="1"/>
      </xdr:nvSpPr>
      <xdr:spPr>
        <a:xfrm>
          <a:off x="22202775" y="361950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ru-RU" sz="1100"/>
        </a:p>
      </xdr:txBody>
    </xdr:sp>
    <xdr:clientData/>
  </xdr:oneCellAnchor>
</xdr:wsDr>
</file>

<file path=xl/tables/table1.xml><?xml version="1.0" encoding="utf-8"?>
<table xmlns="http://schemas.openxmlformats.org/spreadsheetml/2006/main" id="1" name="Таблица1" displayName="Таблица1" ref="AK10:AV41" totalsRowShown="0" headerRowDxfId="28" dataDxfId="27">
  <autoFilter ref="AK10:AV41"/>
  <tableColumns count="12">
    <tableColumn id="9" name="№" dataDxfId="26">
      <calculatedColumnFormula>B11</calculatedColumnFormula>
    </tableColumn>
    <tableColumn id="1" name="Дата" dataDxfId="25">
      <calculatedColumnFormula>C11</calculatedColumnFormula>
    </tableColumn>
    <tableColumn id="2" name="Бюджет" dataDxfId="24">
      <calculatedColumnFormula>D11</calculatedColumnFormula>
    </tableColumn>
    <tableColumn id="3" name="Начало, км" dataDxfId="23">
      <calculatedColumnFormula>E11</calculatedColumnFormula>
    </tableColumn>
    <tableColumn id="4" name="Конец, км" dataDxfId="22">
      <calculatedColumnFormula>J11</calculatedColumnFormula>
    </tableColumn>
    <tableColumn id="5" name="Пробег, км" dataDxfId="21">
      <calculatedColumnFormula>O11</calculatedColumnFormula>
    </tableColumn>
    <tableColumn id="10" name="Показания одометра на начало периода" dataDxfId="20">
      <calculatedColumnFormula>$N$8</calculatedColumnFormula>
    </tableColumn>
    <tableColumn id="11" name="Показания одометра на конец периода" dataDxfId="19">
      <calculatedColumnFormula>$AE$8</calculatedColumnFormula>
    </tableColumn>
    <tableColumn id="6" name="ФИО" dataDxfId="18">
      <calculatedColumnFormula>$E$5</calculatedColumnFormula>
    </tableColumn>
    <tableColumn id="7" name="№ топливной карты" dataDxfId="17">
      <calculatedColumnFormula>$AC$6</calculatedColumnFormula>
    </tableColumn>
    <tableColumn id="8" name="Номер заявки / Перечень задач" dataDxfId="16">
      <calculatedColumnFormula>AE11</calculatedColumnFormula>
    </tableColumn>
    <tableColumn id="12" name="Месяц ПЛ" dataDxfId="15">
      <calculatedColumnFormula>$M$3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Таблица2" displayName="Таблица2" ref="F5:K318" totalsRowShown="0" headerRowDxfId="14" dataDxfId="13">
  <autoFilter ref="F5:K318"/>
  <tableColumns count="6">
    <tableColumn id="1" name="ФИО" dataDxfId="12">
      <calculatedColumnFormula>$A$3</calculatedColumnFormula>
    </tableColumn>
    <tableColumn id="2" name="№ карты" dataDxfId="11">
      <calculatedColumnFormula>$D$3</calculatedColumnFormula>
    </tableColumn>
    <tableColumn id="3" name="Вид топлива" dataDxfId="10">
      <calculatedColumnFormula>A6</calculatedColumnFormula>
    </tableColumn>
    <tableColumn id="4" name="Дата заправки" dataDxfId="9">
      <calculatedColumnFormula>B6</calculatedColumnFormula>
    </tableColumn>
    <tableColumn id="5" name="количество заправленного топлива" dataDxfId="8">
      <calculatedColumnFormula>C6</calculatedColumnFormula>
    </tableColumn>
    <tableColumn id="6" name="Сумма заправки" dataDxfId="7">
      <calculatedColumnFormula>D6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39933"/>
    <pageSetUpPr fitToPage="1"/>
  </sheetPr>
  <dimension ref="A2:AW49"/>
  <sheetViews>
    <sheetView showGridLines="0" tabSelected="1" view="pageBreakPreview" zoomScaleNormal="100" zoomScaleSheetLayoutView="100" zoomScalePageLayoutView="85" workbookViewId="0">
      <selection activeCell="Z2" sqref="Z2:AB2"/>
    </sheetView>
  </sheetViews>
  <sheetFormatPr defaultColWidth="9.28515625" defaultRowHeight="15" x14ac:dyDescent="0.25"/>
  <cols>
    <col min="1" max="1" width="3.140625" customWidth="1"/>
    <col min="2" max="2" width="5.85546875" customWidth="1"/>
    <col min="3" max="3" width="10.85546875" customWidth="1"/>
    <col min="4" max="4" width="25.28515625" style="43" customWidth="1"/>
    <col min="5" max="8" width="2" customWidth="1"/>
    <col min="9" max="9" width="4.7109375" customWidth="1"/>
    <col min="10" max="14" width="2" customWidth="1"/>
    <col min="15" max="15" width="3.7109375" customWidth="1"/>
    <col min="16" max="16" width="3.85546875" customWidth="1"/>
    <col min="17" max="17" width="5.42578125" customWidth="1"/>
    <col min="18" max="20" width="2.28515625" customWidth="1"/>
    <col min="21" max="22" width="1.140625" customWidth="1"/>
    <col min="23" max="24" width="2.140625" customWidth="1"/>
    <col min="25" max="28" width="2.28515625" customWidth="1"/>
    <col min="29" max="29" width="2.7109375" customWidth="1"/>
    <col min="30" max="30" width="8.5703125" customWidth="1"/>
    <col min="31" max="34" width="3.140625" customWidth="1"/>
    <col min="35" max="35" width="6.42578125" customWidth="1"/>
    <col min="36" max="36" width="12" style="83" customWidth="1"/>
    <col min="37" max="37" width="5.42578125" style="84" hidden="1" customWidth="1"/>
    <col min="38" max="38" width="10.140625" style="84" hidden="1" customWidth="1"/>
    <col min="39" max="39" width="17.85546875" style="84" hidden="1" customWidth="1"/>
    <col min="40" max="40" width="13.28515625" style="84" hidden="1" customWidth="1"/>
    <col min="41" max="41" width="12.42578125" style="84" hidden="1" customWidth="1"/>
    <col min="42" max="42" width="13.28515625" style="84" hidden="1" customWidth="1"/>
    <col min="43" max="43" width="41" style="84" hidden="1" customWidth="1"/>
    <col min="44" max="44" width="40" style="84" hidden="1" customWidth="1"/>
    <col min="45" max="45" width="71.5703125" style="84" hidden="1" customWidth="1"/>
    <col min="46" max="46" width="21.85546875" style="84" hidden="1" customWidth="1"/>
    <col min="47" max="47" width="120.85546875" style="84" hidden="1" customWidth="1"/>
    <col min="48" max="48" width="12.140625" style="84" hidden="1" customWidth="1"/>
    <col min="49" max="49" width="9.28515625" style="84"/>
    <col min="50" max="16384" width="9.28515625" style="81"/>
  </cols>
  <sheetData>
    <row r="2" spans="1:49" ht="18.75" x14ac:dyDescent="0.25">
      <c r="D2" s="155" t="s">
        <v>184</v>
      </c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0">
        <f>AE7</f>
        <v>0</v>
      </c>
      <c r="Q2" s="150"/>
      <c r="R2" s="150"/>
      <c r="S2" s="150"/>
      <c r="T2" s="150"/>
      <c r="U2" s="146" t="s">
        <v>33</v>
      </c>
      <c r="V2" s="147"/>
      <c r="W2" s="151">
        <f>MONTH(M3&amp;0)</f>
        <v>1</v>
      </c>
      <c r="X2" s="151"/>
      <c r="Y2" s="4" t="s">
        <v>33</v>
      </c>
      <c r="Z2" s="205">
        <f>Q3</f>
        <v>2026</v>
      </c>
      <c r="AA2" s="148"/>
      <c r="AB2" s="148"/>
      <c r="AC2" s="4"/>
    </row>
    <row r="3" spans="1:49" s="82" customFormat="1" x14ac:dyDescent="0.25">
      <c r="A3" s="2"/>
      <c r="B3" s="2"/>
      <c r="C3" s="2"/>
      <c r="D3" s="44"/>
      <c r="E3" s="2"/>
      <c r="F3" s="2"/>
      <c r="G3" s="2"/>
      <c r="H3" s="2"/>
      <c r="I3" s="1"/>
      <c r="J3" s="2"/>
      <c r="K3" s="145" t="s">
        <v>1</v>
      </c>
      <c r="L3" s="145"/>
      <c r="M3" s="149" t="s">
        <v>189</v>
      </c>
      <c r="N3" s="145"/>
      <c r="O3" s="145"/>
      <c r="P3" s="145"/>
      <c r="Q3" s="25">
        <v>2026</v>
      </c>
      <c r="R3" s="26" t="s">
        <v>34</v>
      </c>
      <c r="S3" s="5"/>
      <c r="T3" s="2"/>
      <c r="U3" s="1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85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</row>
    <row r="4" spans="1:49" ht="6" customHeight="1" x14ac:dyDescent="0.25"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6"/>
      <c r="AB4" s="156"/>
      <c r="AC4" s="156"/>
      <c r="AD4" s="156"/>
      <c r="AE4" s="156"/>
      <c r="AF4" s="156"/>
      <c r="AG4" s="156"/>
      <c r="AH4" s="156"/>
      <c r="AI4" s="156"/>
    </row>
    <row r="5" spans="1:49" ht="40.700000000000003" customHeight="1" x14ac:dyDescent="0.25">
      <c r="B5" s="111" t="s">
        <v>76</v>
      </c>
      <c r="C5" s="112"/>
      <c r="D5" s="113"/>
      <c r="E5" s="152"/>
      <c r="F5" s="153"/>
      <c r="G5" s="153"/>
      <c r="H5" s="153"/>
      <c r="I5" s="153"/>
      <c r="J5" s="153"/>
      <c r="K5" s="153"/>
      <c r="L5" s="153"/>
      <c r="M5" s="153"/>
      <c r="N5" s="153"/>
      <c r="O5" s="153"/>
      <c r="P5" s="153"/>
      <c r="Q5" s="153"/>
      <c r="R5" s="153"/>
      <c r="S5" s="153"/>
      <c r="T5" s="153"/>
      <c r="U5" s="154"/>
      <c r="V5" s="137" t="s">
        <v>37</v>
      </c>
      <c r="W5" s="137"/>
      <c r="X5" s="137"/>
      <c r="Y5" s="137"/>
      <c r="Z5" s="137"/>
      <c r="AA5" s="137"/>
      <c r="AB5" s="137"/>
      <c r="AC5" s="152"/>
      <c r="AD5" s="153"/>
      <c r="AE5" s="153"/>
      <c r="AF5" s="153"/>
      <c r="AG5" s="153"/>
      <c r="AH5" s="153"/>
      <c r="AI5" s="154"/>
    </row>
    <row r="6" spans="1:49" ht="24.75" customHeight="1" x14ac:dyDescent="0.25">
      <c r="B6" s="111" t="s">
        <v>8</v>
      </c>
      <c r="C6" s="112"/>
      <c r="D6" s="113"/>
      <c r="E6" s="130"/>
      <c r="F6" s="131"/>
      <c r="G6" s="131"/>
      <c r="H6" s="131"/>
      <c r="I6" s="131"/>
      <c r="J6" s="131"/>
      <c r="K6" s="131"/>
      <c r="L6" s="131"/>
      <c r="M6" s="131"/>
      <c r="N6" s="131"/>
      <c r="O6" s="131"/>
      <c r="P6" s="131"/>
      <c r="Q6" s="131"/>
      <c r="R6" s="131"/>
      <c r="S6" s="131"/>
      <c r="T6" s="131"/>
      <c r="U6" s="131"/>
      <c r="V6" s="137" t="s">
        <v>42</v>
      </c>
      <c r="W6" s="137"/>
      <c r="X6" s="137"/>
      <c r="Y6" s="137"/>
      <c r="Z6" s="137"/>
      <c r="AA6" s="137"/>
      <c r="AB6" s="137"/>
      <c r="AC6" s="157"/>
      <c r="AD6" s="157"/>
      <c r="AE6" s="157"/>
      <c r="AF6" s="157"/>
      <c r="AG6" s="157"/>
      <c r="AH6" s="157"/>
      <c r="AI6" s="158"/>
    </row>
    <row r="7" spans="1:49" ht="16.5" customHeight="1" x14ac:dyDescent="0.25">
      <c r="B7" s="134" t="s">
        <v>7</v>
      </c>
      <c r="C7" s="135"/>
      <c r="D7" s="135"/>
      <c r="E7" s="135"/>
      <c r="F7" s="135"/>
      <c r="G7" s="135"/>
      <c r="H7" s="135"/>
      <c r="I7" s="136"/>
      <c r="J7" s="130"/>
      <c r="K7" s="131"/>
      <c r="L7" s="131"/>
      <c r="M7" s="131"/>
      <c r="N7" s="131"/>
      <c r="O7" s="131"/>
      <c r="P7" s="131"/>
      <c r="Q7" s="132"/>
      <c r="R7" s="134" t="s">
        <v>38</v>
      </c>
      <c r="S7" s="135"/>
      <c r="T7" s="135"/>
      <c r="U7" s="135"/>
      <c r="V7" s="135"/>
      <c r="W7" s="135"/>
      <c r="X7" s="135"/>
      <c r="Y7" s="135"/>
      <c r="Z7" s="135"/>
      <c r="AA7" s="135"/>
      <c r="AB7" s="135"/>
      <c r="AC7" s="135"/>
      <c r="AD7" s="136"/>
      <c r="AE7" s="127"/>
      <c r="AF7" s="128"/>
      <c r="AG7" s="128"/>
      <c r="AH7" s="128"/>
      <c r="AI7" s="129"/>
    </row>
    <row r="8" spans="1:49" ht="19.7" customHeight="1" x14ac:dyDescent="0.25">
      <c r="B8" s="141" t="s">
        <v>36</v>
      </c>
      <c r="C8" s="142"/>
      <c r="D8" s="142"/>
      <c r="E8" s="142"/>
      <c r="F8" s="142"/>
      <c r="G8" s="142"/>
      <c r="H8" s="142"/>
      <c r="I8" s="142"/>
      <c r="J8" s="142"/>
      <c r="K8" s="142"/>
      <c r="L8" s="142"/>
      <c r="M8" s="143"/>
      <c r="N8" s="130"/>
      <c r="O8" s="131"/>
      <c r="P8" s="132"/>
      <c r="Q8" s="141" t="s">
        <v>35</v>
      </c>
      <c r="R8" s="142"/>
      <c r="S8" s="142"/>
      <c r="T8" s="142"/>
      <c r="U8" s="142"/>
      <c r="V8" s="142"/>
      <c r="W8" s="142"/>
      <c r="X8" s="142"/>
      <c r="Y8" s="142"/>
      <c r="Z8" s="142"/>
      <c r="AA8" s="142"/>
      <c r="AB8" s="142"/>
      <c r="AC8" s="142"/>
      <c r="AD8" s="143"/>
      <c r="AE8" s="130"/>
      <c r="AF8" s="131"/>
      <c r="AG8" s="131"/>
      <c r="AH8" s="131"/>
      <c r="AI8" s="132"/>
    </row>
    <row r="9" spans="1:49" ht="14.25" customHeight="1" x14ac:dyDescent="0.25">
      <c r="B9" s="117" t="s">
        <v>2</v>
      </c>
      <c r="C9" s="118"/>
      <c r="D9" s="118"/>
      <c r="E9" s="118"/>
      <c r="F9" s="118"/>
      <c r="G9" s="118"/>
      <c r="H9" s="118"/>
      <c r="I9" s="118"/>
      <c r="J9" s="118"/>
      <c r="K9" s="118"/>
      <c r="L9" s="118"/>
      <c r="M9" s="118"/>
      <c r="N9" s="118"/>
      <c r="O9" s="118"/>
      <c r="P9" s="118"/>
      <c r="Q9" s="118"/>
      <c r="R9" s="118"/>
      <c r="S9" s="118"/>
      <c r="T9" s="118"/>
      <c r="U9" s="118"/>
      <c r="V9" s="118"/>
      <c r="W9" s="118"/>
      <c r="X9" s="118"/>
      <c r="Y9" s="118"/>
      <c r="Z9" s="118"/>
      <c r="AA9" s="118"/>
      <c r="AB9" s="118"/>
      <c r="AC9" s="118"/>
      <c r="AD9" s="118"/>
      <c r="AE9" s="118"/>
      <c r="AF9" s="118"/>
      <c r="AG9" s="118"/>
      <c r="AH9" s="118"/>
      <c r="AI9" s="119"/>
    </row>
    <row r="10" spans="1:49" ht="24.75" customHeight="1" x14ac:dyDescent="0.25">
      <c r="B10" s="24" t="s">
        <v>0</v>
      </c>
      <c r="C10" s="24" t="s">
        <v>3</v>
      </c>
      <c r="D10" s="34" t="s">
        <v>158</v>
      </c>
      <c r="E10" s="144" t="s">
        <v>4</v>
      </c>
      <c r="F10" s="144"/>
      <c r="G10" s="144"/>
      <c r="H10" s="144"/>
      <c r="I10" s="144"/>
      <c r="J10" s="144" t="s">
        <v>13</v>
      </c>
      <c r="K10" s="144"/>
      <c r="L10" s="144"/>
      <c r="M10" s="144"/>
      <c r="N10" s="144"/>
      <c r="O10" s="144" t="s">
        <v>14</v>
      </c>
      <c r="P10" s="144"/>
      <c r="Q10" s="144"/>
      <c r="R10" s="144" t="s">
        <v>15</v>
      </c>
      <c r="S10" s="144"/>
      <c r="T10" s="144"/>
      <c r="U10" s="144"/>
      <c r="V10" s="144"/>
      <c r="W10" s="144"/>
      <c r="X10" s="144"/>
      <c r="Y10" s="144"/>
      <c r="Z10" s="144"/>
      <c r="AA10" s="144"/>
      <c r="AB10" s="144"/>
      <c r="AC10" s="144"/>
      <c r="AD10" s="144"/>
      <c r="AE10" s="133" t="s">
        <v>39</v>
      </c>
      <c r="AF10" s="133"/>
      <c r="AG10" s="133"/>
      <c r="AH10" s="133"/>
      <c r="AI10" s="133"/>
      <c r="AK10" s="87" t="s">
        <v>0</v>
      </c>
      <c r="AL10" s="87" t="s">
        <v>3</v>
      </c>
      <c r="AM10" s="87" t="s">
        <v>158</v>
      </c>
      <c r="AN10" s="88" t="s">
        <v>4</v>
      </c>
      <c r="AO10" s="88" t="s">
        <v>13</v>
      </c>
      <c r="AP10" s="88" t="s">
        <v>14</v>
      </c>
      <c r="AQ10" s="88" t="s">
        <v>161</v>
      </c>
      <c r="AR10" s="88" t="s">
        <v>162</v>
      </c>
      <c r="AS10" s="88" t="s">
        <v>95</v>
      </c>
      <c r="AT10" s="88" t="s">
        <v>160</v>
      </c>
      <c r="AU10" s="88" t="s">
        <v>39</v>
      </c>
      <c r="AV10" s="88" t="s">
        <v>163</v>
      </c>
    </row>
    <row r="11" spans="1:49" ht="51.95" customHeight="1" x14ac:dyDescent="0.25">
      <c r="B11" s="24">
        <v>1</v>
      </c>
      <c r="C11" s="29"/>
      <c r="D11" s="45"/>
      <c r="E11" s="95"/>
      <c r="F11" s="96"/>
      <c r="G11" s="96"/>
      <c r="H11" s="96"/>
      <c r="I11" s="97"/>
      <c r="J11" s="98">
        <f>E11+O11</f>
        <v>0</v>
      </c>
      <c r="K11" s="98"/>
      <c r="L11" s="98"/>
      <c r="M11" s="98"/>
      <c r="N11" s="98"/>
      <c r="O11" s="99"/>
      <c r="P11" s="100"/>
      <c r="Q11" s="101"/>
      <c r="R11" s="102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4"/>
      <c r="AE11" s="138"/>
      <c r="AF11" s="139"/>
      <c r="AG11" s="139"/>
      <c r="AH11" s="139"/>
      <c r="AI11" s="140"/>
      <c r="AK11" s="89">
        <f>B11</f>
        <v>1</v>
      </c>
      <c r="AL11" s="87">
        <f>C11</f>
        <v>0</v>
      </c>
      <c r="AM11" s="87">
        <f>D11</f>
        <v>0</v>
      </c>
      <c r="AN11" s="88">
        <f>E11</f>
        <v>0</v>
      </c>
      <c r="AO11" s="88">
        <f t="shared" ref="AO11:AO41" si="0">J11</f>
        <v>0</v>
      </c>
      <c r="AP11" s="88">
        <f t="shared" ref="AP11:AP41" si="1">O11</f>
        <v>0</v>
      </c>
      <c r="AQ11" s="88">
        <f t="shared" ref="AQ11:AQ41" si="2">$N$8</f>
        <v>0</v>
      </c>
      <c r="AR11" s="88">
        <f t="shared" ref="AR11:AR41" si="3">$AE$8</f>
        <v>0</v>
      </c>
      <c r="AS11" s="88">
        <f t="shared" ref="AS11:AS41" si="4">$E$5</f>
        <v>0</v>
      </c>
      <c r="AT11" s="90">
        <f t="shared" ref="AT11:AT41" si="5">$AC$6</f>
        <v>0</v>
      </c>
      <c r="AU11" s="88">
        <f t="shared" ref="AU11:AU41" si="6">AE11</f>
        <v>0</v>
      </c>
      <c r="AV11" s="89" t="str">
        <f t="shared" ref="AV11:AV41" si="7">$M$3</f>
        <v>январь</v>
      </c>
    </row>
    <row r="12" spans="1:49" ht="47.25" customHeight="1" x14ac:dyDescent="0.25">
      <c r="B12" s="24">
        <v>2</v>
      </c>
      <c r="C12" s="29"/>
      <c r="D12" s="45"/>
      <c r="E12" s="95"/>
      <c r="F12" s="96"/>
      <c r="G12" s="96"/>
      <c r="H12" s="96"/>
      <c r="I12" s="97"/>
      <c r="J12" s="98">
        <f t="shared" ref="J12:J41" si="8">E12+O12</f>
        <v>0</v>
      </c>
      <c r="K12" s="98"/>
      <c r="L12" s="98"/>
      <c r="M12" s="98"/>
      <c r="N12" s="98"/>
      <c r="O12" s="99"/>
      <c r="P12" s="100"/>
      <c r="Q12" s="101"/>
      <c r="R12" s="102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4"/>
      <c r="AE12" s="138"/>
      <c r="AF12" s="139"/>
      <c r="AG12" s="139"/>
      <c r="AH12" s="139"/>
      <c r="AI12" s="140"/>
      <c r="AK12" s="89">
        <f t="shared" ref="AK12:AK41" si="9">B12</f>
        <v>2</v>
      </c>
      <c r="AL12" s="87">
        <f t="shared" ref="AL12:AL41" si="10">C12</f>
        <v>0</v>
      </c>
      <c r="AM12" s="87">
        <f t="shared" ref="AM12:AM41" si="11">D12</f>
        <v>0</v>
      </c>
      <c r="AN12" s="88">
        <f t="shared" ref="AN12:AN41" si="12">E12</f>
        <v>0</v>
      </c>
      <c r="AO12" s="88">
        <f t="shared" si="0"/>
        <v>0</v>
      </c>
      <c r="AP12" s="88">
        <f t="shared" si="1"/>
        <v>0</v>
      </c>
      <c r="AQ12" s="88">
        <f t="shared" si="2"/>
        <v>0</v>
      </c>
      <c r="AR12" s="88">
        <f t="shared" si="3"/>
        <v>0</v>
      </c>
      <c r="AS12" s="88">
        <f t="shared" si="4"/>
        <v>0</v>
      </c>
      <c r="AT12" s="90">
        <f t="shared" si="5"/>
        <v>0</v>
      </c>
      <c r="AU12" s="88">
        <f t="shared" si="6"/>
        <v>0</v>
      </c>
      <c r="AV12" s="89" t="str">
        <f t="shared" si="7"/>
        <v>январь</v>
      </c>
    </row>
    <row r="13" spans="1:49" ht="38.25" customHeight="1" x14ac:dyDescent="0.25">
      <c r="B13" s="24">
        <v>3</v>
      </c>
      <c r="C13" s="29"/>
      <c r="D13" s="45"/>
      <c r="E13" s="95"/>
      <c r="F13" s="96"/>
      <c r="G13" s="96"/>
      <c r="H13" s="96"/>
      <c r="I13" s="97"/>
      <c r="J13" s="98">
        <f t="shared" si="8"/>
        <v>0</v>
      </c>
      <c r="K13" s="98"/>
      <c r="L13" s="98"/>
      <c r="M13" s="98"/>
      <c r="N13" s="98"/>
      <c r="O13" s="99"/>
      <c r="P13" s="100"/>
      <c r="Q13" s="101"/>
      <c r="R13" s="102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4"/>
      <c r="AE13" s="138"/>
      <c r="AF13" s="139"/>
      <c r="AG13" s="139"/>
      <c r="AH13" s="139"/>
      <c r="AI13" s="140"/>
      <c r="AK13" s="89">
        <f t="shared" si="9"/>
        <v>3</v>
      </c>
      <c r="AL13" s="87">
        <f t="shared" si="10"/>
        <v>0</v>
      </c>
      <c r="AM13" s="87">
        <f t="shared" si="11"/>
        <v>0</v>
      </c>
      <c r="AN13" s="88">
        <f t="shared" si="12"/>
        <v>0</v>
      </c>
      <c r="AO13" s="88">
        <f t="shared" si="0"/>
        <v>0</v>
      </c>
      <c r="AP13" s="88">
        <f t="shared" si="1"/>
        <v>0</v>
      </c>
      <c r="AQ13" s="88">
        <f t="shared" si="2"/>
        <v>0</v>
      </c>
      <c r="AR13" s="88">
        <f t="shared" si="3"/>
        <v>0</v>
      </c>
      <c r="AS13" s="88">
        <f t="shared" si="4"/>
        <v>0</v>
      </c>
      <c r="AT13" s="90">
        <f t="shared" si="5"/>
        <v>0</v>
      </c>
      <c r="AU13" s="88">
        <f t="shared" si="6"/>
        <v>0</v>
      </c>
      <c r="AV13" s="89" t="str">
        <f t="shared" si="7"/>
        <v>январь</v>
      </c>
    </row>
    <row r="14" spans="1:49" ht="42.75" customHeight="1" x14ac:dyDescent="0.25">
      <c r="B14" s="79">
        <v>4</v>
      </c>
      <c r="C14" s="29"/>
      <c r="D14" s="45"/>
      <c r="E14" s="95"/>
      <c r="F14" s="96"/>
      <c r="G14" s="96"/>
      <c r="H14" s="96"/>
      <c r="I14" s="97"/>
      <c r="J14" s="98">
        <f t="shared" si="8"/>
        <v>0</v>
      </c>
      <c r="K14" s="98"/>
      <c r="L14" s="98"/>
      <c r="M14" s="98"/>
      <c r="N14" s="98"/>
      <c r="O14" s="99"/>
      <c r="P14" s="100"/>
      <c r="Q14" s="101"/>
      <c r="R14" s="102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4"/>
      <c r="AE14" s="138"/>
      <c r="AF14" s="139"/>
      <c r="AG14" s="139"/>
      <c r="AH14" s="139"/>
      <c r="AI14" s="140"/>
      <c r="AK14" s="89">
        <f t="shared" si="9"/>
        <v>4</v>
      </c>
      <c r="AL14" s="87">
        <f t="shared" si="10"/>
        <v>0</v>
      </c>
      <c r="AM14" s="87">
        <f t="shared" si="11"/>
        <v>0</v>
      </c>
      <c r="AN14" s="88">
        <f t="shared" si="12"/>
        <v>0</v>
      </c>
      <c r="AO14" s="88">
        <f t="shared" si="0"/>
        <v>0</v>
      </c>
      <c r="AP14" s="88">
        <f t="shared" si="1"/>
        <v>0</v>
      </c>
      <c r="AQ14" s="88">
        <f t="shared" si="2"/>
        <v>0</v>
      </c>
      <c r="AR14" s="88">
        <f t="shared" si="3"/>
        <v>0</v>
      </c>
      <c r="AS14" s="88">
        <f t="shared" si="4"/>
        <v>0</v>
      </c>
      <c r="AT14" s="90">
        <f t="shared" si="5"/>
        <v>0</v>
      </c>
      <c r="AU14" s="88">
        <f t="shared" si="6"/>
        <v>0</v>
      </c>
      <c r="AV14" s="89" t="str">
        <f t="shared" si="7"/>
        <v>январь</v>
      </c>
    </row>
    <row r="15" spans="1:49" ht="49.7" customHeight="1" x14ac:dyDescent="0.25">
      <c r="A15" s="21"/>
      <c r="B15" s="79">
        <v>5</v>
      </c>
      <c r="C15" s="29"/>
      <c r="D15" s="45"/>
      <c r="E15" s="95"/>
      <c r="F15" s="96"/>
      <c r="G15" s="96"/>
      <c r="H15" s="96"/>
      <c r="I15" s="97"/>
      <c r="J15" s="98">
        <f t="shared" si="8"/>
        <v>0</v>
      </c>
      <c r="K15" s="98"/>
      <c r="L15" s="98"/>
      <c r="M15" s="98"/>
      <c r="N15" s="98"/>
      <c r="O15" s="99"/>
      <c r="P15" s="100"/>
      <c r="Q15" s="101"/>
      <c r="R15" s="102"/>
      <c r="S15" s="103"/>
      <c r="T15" s="103"/>
      <c r="U15" s="103"/>
      <c r="V15" s="103"/>
      <c r="W15" s="103"/>
      <c r="X15" s="103"/>
      <c r="Y15" s="103"/>
      <c r="Z15" s="103"/>
      <c r="AA15" s="103"/>
      <c r="AB15" s="103"/>
      <c r="AC15" s="103"/>
      <c r="AD15" s="104"/>
      <c r="AE15" s="105"/>
      <c r="AF15" s="106"/>
      <c r="AG15" s="106"/>
      <c r="AH15" s="106"/>
      <c r="AI15" s="107"/>
      <c r="AK15" s="89">
        <f t="shared" si="9"/>
        <v>5</v>
      </c>
      <c r="AL15" s="87">
        <f t="shared" si="10"/>
        <v>0</v>
      </c>
      <c r="AM15" s="87">
        <f t="shared" si="11"/>
        <v>0</v>
      </c>
      <c r="AN15" s="88">
        <f t="shared" si="12"/>
        <v>0</v>
      </c>
      <c r="AO15" s="88">
        <f t="shared" si="0"/>
        <v>0</v>
      </c>
      <c r="AP15" s="88">
        <f t="shared" si="1"/>
        <v>0</v>
      </c>
      <c r="AQ15" s="88">
        <f t="shared" si="2"/>
        <v>0</v>
      </c>
      <c r="AR15" s="88">
        <f t="shared" si="3"/>
        <v>0</v>
      </c>
      <c r="AS15" s="88">
        <f t="shared" si="4"/>
        <v>0</v>
      </c>
      <c r="AT15" s="90">
        <f t="shared" si="5"/>
        <v>0</v>
      </c>
      <c r="AU15" s="88">
        <f t="shared" si="6"/>
        <v>0</v>
      </c>
      <c r="AV15" s="89" t="str">
        <f t="shared" si="7"/>
        <v>январь</v>
      </c>
    </row>
    <row r="16" spans="1:49" ht="48" customHeight="1" x14ac:dyDescent="0.25">
      <c r="A16" s="21"/>
      <c r="B16" s="79">
        <v>6</v>
      </c>
      <c r="C16" s="29"/>
      <c r="D16" s="45"/>
      <c r="E16" s="95"/>
      <c r="F16" s="96"/>
      <c r="G16" s="96"/>
      <c r="H16" s="96"/>
      <c r="I16" s="97"/>
      <c r="J16" s="98">
        <f t="shared" si="8"/>
        <v>0</v>
      </c>
      <c r="K16" s="98"/>
      <c r="L16" s="98"/>
      <c r="M16" s="98"/>
      <c r="N16" s="98"/>
      <c r="O16" s="99"/>
      <c r="P16" s="100"/>
      <c r="Q16" s="101"/>
      <c r="R16" s="102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4"/>
      <c r="AE16" s="105"/>
      <c r="AF16" s="106"/>
      <c r="AG16" s="106"/>
      <c r="AH16" s="106"/>
      <c r="AI16" s="107"/>
      <c r="AK16" s="89">
        <f t="shared" si="9"/>
        <v>6</v>
      </c>
      <c r="AL16" s="87">
        <f t="shared" si="10"/>
        <v>0</v>
      </c>
      <c r="AM16" s="87">
        <f t="shared" si="11"/>
        <v>0</v>
      </c>
      <c r="AN16" s="88">
        <f t="shared" si="12"/>
        <v>0</v>
      </c>
      <c r="AO16" s="88">
        <f t="shared" si="0"/>
        <v>0</v>
      </c>
      <c r="AP16" s="88">
        <f t="shared" si="1"/>
        <v>0</v>
      </c>
      <c r="AQ16" s="88">
        <f t="shared" si="2"/>
        <v>0</v>
      </c>
      <c r="AR16" s="88">
        <f t="shared" si="3"/>
        <v>0</v>
      </c>
      <c r="AS16" s="88">
        <f t="shared" si="4"/>
        <v>0</v>
      </c>
      <c r="AT16" s="90">
        <f t="shared" si="5"/>
        <v>0</v>
      </c>
      <c r="AU16" s="88">
        <f t="shared" si="6"/>
        <v>0</v>
      </c>
      <c r="AV16" s="89" t="str">
        <f t="shared" si="7"/>
        <v>январь</v>
      </c>
    </row>
    <row r="17" spans="1:48" ht="56.25" customHeight="1" x14ac:dyDescent="0.25">
      <c r="A17" s="21"/>
      <c r="B17" s="79">
        <v>7</v>
      </c>
      <c r="C17" s="29"/>
      <c r="D17" s="45"/>
      <c r="E17" s="95"/>
      <c r="F17" s="96"/>
      <c r="G17" s="96"/>
      <c r="H17" s="96"/>
      <c r="I17" s="97"/>
      <c r="J17" s="98">
        <f t="shared" si="8"/>
        <v>0</v>
      </c>
      <c r="K17" s="98"/>
      <c r="L17" s="98"/>
      <c r="M17" s="98"/>
      <c r="N17" s="98"/>
      <c r="O17" s="99"/>
      <c r="P17" s="100"/>
      <c r="Q17" s="101"/>
      <c r="R17" s="102"/>
      <c r="S17" s="103"/>
      <c r="T17" s="103"/>
      <c r="U17" s="103"/>
      <c r="V17" s="103"/>
      <c r="W17" s="103"/>
      <c r="X17" s="103"/>
      <c r="Y17" s="103"/>
      <c r="Z17" s="103"/>
      <c r="AA17" s="103"/>
      <c r="AB17" s="103"/>
      <c r="AC17" s="103"/>
      <c r="AD17" s="104"/>
      <c r="AE17" s="105"/>
      <c r="AF17" s="106"/>
      <c r="AG17" s="106"/>
      <c r="AH17" s="106"/>
      <c r="AI17" s="107"/>
      <c r="AK17" s="89">
        <f t="shared" si="9"/>
        <v>7</v>
      </c>
      <c r="AL17" s="87">
        <f t="shared" si="10"/>
        <v>0</v>
      </c>
      <c r="AM17" s="87">
        <f t="shared" si="11"/>
        <v>0</v>
      </c>
      <c r="AN17" s="88">
        <f t="shared" si="12"/>
        <v>0</v>
      </c>
      <c r="AO17" s="88">
        <f t="shared" si="0"/>
        <v>0</v>
      </c>
      <c r="AP17" s="88">
        <f t="shared" si="1"/>
        <v>0</v>
      </c>
      <c r="AQ17" s="88">
        <f t="shared" si="2"/>
        <v>0</v>
      </c>
      <c r="AR17" s="88">
        <f t="shared" si="3"/>
        <v>0</v>
      </c>
      <c r="AS17" s="88">
        <f t="shared" si="4"/>
        <v>0</v>
      </c>
      <c r="AT17" s="90">
        <f t="shared" si="5"/>
        <v>0</v>
      </c>
      <c r="AU17" s="88">
        <f t="shared" si="6"/>
        <v>0</v>
      </c>
      <c r="AV17" s="89" t="str">
        <f t="shared" si="7"/>
        <v>январь</v>
      </c>
    </row>
    <row r="18" spans="1:48" ht="39.75" customHeight="1" x14ac:dyDescent="0.25">
      <c r="A18" s="21"/>
      <c r="B18" s="79">
        <v>8</v>
      </c>
      <c r="C18" s="29"/>
      <c r="D18" s="45"/>
      <c r="E18" s="95"/>
      <c r="F18" s="96"/>
      <c r="G18" s="96"/>
      <c r="H18" s="96"/>
      <c r="I18" s="97"/>
      <c r="J18" s="98">
        <f t="shared" si="8"/>
        <v>0</v>
      </c>
      <c r="K18" s="98"/>
      <c r="L18" s="98"/>
      <c r="M18" s="98"/>
      <c r="N18" s="98"/>
      <c r="O18" s="99"/>
      <c r="P18" s="100"/>
      <c r="Q18" s="101"/>
      <c r="R18" s="102"/>
      <c r="S18" s="103"/>
      <c r="T18" s="103"/>
      <c r="U18" s="103"/>
      <c r="V18" s="103"/>
      <c r="W18" s="103"/>
      <c r="X18" s="103"/>
      <c r="Y18" s="103"/>
      <c r="Z18" s="103"/>
      <c r="AA18" s="103"/>
      <c r="AB18" s="103"/>
      <c r="AC18" s="103"/>
      <c r="AD18" s="104"/>
      <c r="AE18" s="105"/>
      <c r="AF18" s="106"/>
      <c r="AG18" s="106"/>
      <c r="AH18" s="106"/>
      <c r="AI18" s="107"/>
      <c r="AK18" s="89">
        <f t="shared" si="9"/>
        <v>8</v>
      </c>
      <c r="AL18" s="87">
        <f t="shared" si="10"/>
        <v>0</v>
      </c>
      <c r="AM18" s="87">
        <f t="shared" si="11"/>
        <v>0</v>
      </c>
      <c r="AN18" s="88">
        <f t="shared" si="12"/>
        <v>0</v>
      </c>
      <c r="AO18" s="88">
        <f t="shared" si="0"/>
        <v>0</v>
      </c>
      <c r="AP18" s="88">
        <f t="shared" si="1"/>
        <v>0</v>
      </c>
      <c r="AQ18" s="88">
        <f t="shared" si="2"/>
        <v>0</v>
      </c>
      <c r="AR18" s="88">
        <f t="shared" si="3"/>
        <v>0</v>
      </c>
      <c r="AS18" s="88">
        <f t="shared" si="4"/>
        <v>0</v>
      </c>
      <c r="AT18" s="90">
        <f t="shared" si="5"/>
        <v>0</v>
      </c>
      <c r="AU18" s="88">
        <f t="shared" si="6"/>
        <v>0</v>
      </c>
      <c r="AV18" s="89" t="str">
        <f t="shared" si="7"/>
        <v>январь</v>
      </c>
    </row>
    <row r="19" spans="1:48" ht="41.45" customHeight="1" x14ac:dyDescent="0.25">
      <c r="A19" s="21"/>
      <c r="B19" s="79">
        <v>9</v>
      </c>
      <c r="C19" s="29"/>
      <c r="D19" s="45"/>
      <c r="E19" s="95"/>
      <c r="F19" s="96"/>
      <c r="G19" s="96"/>
      <c r="H19" s="96"/>
      <c r="I19" s="97"/>
      <c r="J19" s="98">
        <f t="shared" si="8"/>
        <v>0</v>
      </c>
      <c r="K19" s="98"/>
      <c r="L19" s="98"/>
      <c r="M19" s="98"/>
      <c r="N19" s="98"/>
      <c r="O19" s="99"/>
      <c r="P19" s="100"/>
      <c r="Q19" s="101"/>
      <c r="R19" s="102"/>
      <c r="S19" s="103"/>
      <c r="T19" s="103"/>
      <c r="U19" s="103"/>
      <c r="V19" s="103"/>
      <c r="W19" s="103"/>
      <c r="X19" s="103"/>
      <c r="Y19" s="103"/>
      <c r="Z19" s="103"/>
      <c r="AA19" s="103"/>
      <c r="AB19" s="103"/>
      <c r="AC19" s="103"/>
      <c r="AD19" s="104"/>
      <c r="AE19" s="105"/>
      <c r="AF19" s="106"/>
      <c r="AG19" s="106"/>
      <c r="AH19" s="106"/>
      <c r="AI19" s="107"/>
      <c r="AK19" s="89">
        <f t="shared" si="9"/>
        <v>9</v>
      </c>
      <c r="AL19" s="87">
        <f t="shared" si="10"/>
        <v>0</v>
      </c>
      <c r="AM19" s="87">
        <f t="shared" si="11"/>
        <v>0</v>
      </c>
      <c r="AN19" s="88">
        <f t="shared" si="12"/>
        <v>0</v>
      </c>
      <c r="AO19" s="88">
        <f t="shared" si="0"/>
        <v>0</v>
      </c>
      <c r="AP19" s="88">
        <f t="shared" si="1"/>
        <v>0</v>
      </c>
      <c r="AQ19" s="88">
        <f t="shared" si="2"/>
        <v>0</v>
      </c>
      <c r="AR19" s="88">
        <f t="shared" si="3"/>
        <v>0</v>
      </c>
      <c r="AS19" s="88">
        <f t="shared" si="4"/>
        <v>0</v>
      </c>
      <c r="AT19" s="90">
        <f t="shared" si="5"/>
        <v>0</v>
      </c>
      <c r="AU19" s="88">
        <f t="shared" si="6"/>
        <v>0</v>
      </c>
      <c r="AV19" s="89" t="str">
        <f t="shared" si="7"/>
        <v>январь</v>
      </c>
    </row>
    <row r="20" spans="1:48" ht="49.7" customHeight="1" x14ac:dyDescent="0.25">
      <c r="A20" s="21"/>
      <c r="B20" s="79">
        <v>10</v>
      </c>
      <c r="C20" s="29"/>
      <c r="D20" s="45"/>
      <c r="E20" s="95"/>
      <c r="F20" s="96"/>
      <c r="G20" s="96"/>
      <c r="H20" s="96"/>
      <c r="I20" s="97"/>
      <c r="J20" s="98">
        <f t="shared" si="8"/>
        <v>0</v>
      </c>
      <c r="K20" s="98"/>
      <c r="L20" s="98"/>
      <c r="M20" s="98"/>
      <c r="N20" s="98"/>
      <c r="O20" s="99"/>
      <c r="P20" s="100"/>
      <c r="Q20" s="101"/>
      <c r="R20" s="102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  <c r="AC20" s="103"/>
      <c r="AD20" s="104"/>
      <c r="AE20" s="105"/>
      <c r="AF20" s="106"/>
      <c r="AG20" s="106"/>
      <c r="AH20" s="106"/>
      <c r="AI20" s="107"/>
      <c r="AK20" s="89">
        <f t="shared" si="9"/>
        <v>10</v>
      </c>
      <c r="AL20" s="87">
        <f t="shared" si="10"/>
        <v>0</v>
      </c>
      <c r="AM20" s="87">
        <f t="shared" si="11"/>
        <v>0</v>
      </c>
      <c r="AN20" s="88">
        <f t="shared" si="12"/>
        <v>0</v>
      </c>
      <c r="AO20" s="88">
        <f t="shared" si="0"/>
        <v>0</v>
      </c>
      <c r="AP20" s="88">
        <f t="shared" si="1"/>
        <v>0</v>
      </c>
      <c r="AQ20" s="88">
        <f t="shared" si="2"/>
        <v>0</v>
      </c>
      <c r="AR20" s="88">
        <f t="shared" si="3"/>
        <v>0</v>
      </c>
      <c r="AS20" s="88">
        <f t="shared" si="4"/>
        <v>0</v>
      </c>
      <c r="AT20" s="90">
        <f t="shared" si="5"/>
        <v>0</v>
      </c>
      <c r="AU20" s="88">
        <f t="shared" si="6"/>
        <v>0</v>
      </c>
      <c r="AV20" s="89" t="str">
        <f t="shared" si="7"/>
        <v>январь</v>
      </c>
    </row>
    <row r="21" spans="1:48" ht="49.7" customHeight="1" x14ac:dyDescent="0.25">
      <c r="A21" s="21"/>
      <c r="B21" s="79">
        <v>11</v>
      </c>
      <c r="C21" s="29"/>
      <c r="D21" s="45"/>
      <c r="E21" s="95"/>
      <c r="F21" s="96"/>
      <c r="G21" s="96"/>
      <c r="H21" s="96"/>
      <c r="I21" s="97"/>
      <c r="J21" s="98">
        <f t="shared" si="8"/>
        <v>0</v>
      </c>
      <c r="K21" s="98"/>
      <c r="L21" s="98"/>
      <c r="M21" s="98"/>
      <c r="N21" s="98"/>
      <c r="O21" s="99"/>
      <c r="P21" s="100"/>
      <c r="Q21" s="101"/>
      <c r="R21" s="102"/>
      <c r="S21" s="103"/>
      <c r="T21" s="103"/>
      <c r="U21" s="103"/>
      <c r="V21" s="103"/>
      <c r="W21" s="103"/>
      <c r="X21" s="103"/>
      <c r="Y21" s="103"/>
      <c r="Z21" s="103"/>
      <c r="AA21" s="103"/>
      <c r="AB21" s="103"/>
      <c r="AC21" s="103"/>
      <c r="AD21" s="104"/>
      <c r="AE21" s="105"/>
      <c r="AF21" s="106"/>
      <c r="AG21" s="106"/>
      <c r="AH21" s="106"/>
      <c r="AI21" s="107"/>
      <c r="AK21" s="89">
        <f t="shared" si="9"/>
        <v>11</v>
      </c>
      <c r="AL21" s="87">
        <f t="shared" si="10"/>
        <v>0</v>
      </c>
      <c r="AM21" s="87">
        <f t="shared" si="11"/>
        <v>0</v>
      </c>
      <c r="AN21" s="88">
        <f t="shared" si="12"/>
        <v>0</v>
      </c>
      <c r="AO21" s="88">
        <f t="shared" si="0"/>
        <v>0</v>
      </c>
      <c r="AP21" s="88">
        <f t="shared" si="1"/>
        <v>0</v>
      </c>
      <c r="AQ21" s="88">
        <f t="shared" si="2"/>
        <v>0</v>
      </c>
      <c r="AR21" s="88">
        <f t="shared" si="3"/>
        <v>0</v>
      </c>
      <c r="AS21" s="88">
        <f t="shared" si="4"/>
        <v>0</v>
      </c>
      <c r="AT21" s="90">
        <f t="shared" si="5"/>
        <v>0</v>
      </c>
      <c r="AU21" s="88">
        <f t="shared" si="6"/>
        <v>0</v>
      </c>
      <c r="AV21" s="89" t="str">
        <f t="shared" si="7"/>
        <v>январь</v>
      </c>
    </row>
    <row r="22" spans="1:48" ht="49.7" customHeight="1" x14ac:dyDescent="0.25">
      <c r="A22" s="21"/>
      <c r="B22" s="79">
        <v>12</v>
      </c>
      <c r="C22" s="29"/>
      <c r="D22" s="45"/>
      <c r="E22" s="95"/>
      <c r="F22" s="96"/>
      <c r="G22" s="96"/>
      <c r="H22" s="96"/>
      <c r="I22" s="97"/>
      <c r="J22" s="98">
        <f t="shared" si="8"/>
        <v>0</v>
      </c>
      <c r="K22" s="98"/>
      <c r="L22" s="98"/>
      <c r="M22" s="98"/>
      <c r="N22" s="98"/>
      <c r="O22" s="99"/>
      <c r="P22" s="100"/>
      <c r="Q22" s="101"/>
      <c r="R22" s="102"/>
      <c r="S22" s="103"/>
      <c r="T22" s="103"/>
      <c r="U22" s="103"/>
      <c r="V22" s="103"/>
      <c r="W22" s="103"/>
      <c r="X22" s="103"/>
      <c r="Y22" s="103"/>
      <c r="Z22" s="103"/>
      <c r="AA22" s="103"/>
      <c r="AB22" s="103"/>
      <c r="AC22" s="103"/>
      <c r="AD22" s="104"/>
      <c r="AE22" s="105"/>
      <c r="AF22" s="106"/>
      <c r="AG22" s="106"/>
      <c r="AH22" s="106"/>
      <c r="AI22" s="107"/>
      <c r="AK22" s="89">
        <f t="shared" si="9"/>
        <v>12</v>
      </c>
      <c r="AL22" s="87">
        <f t="shared" si="10"/>
        <v>0</v>
      </c>
      <c r="AM22" s="87">
        <f t="shared" si="11"/>
        <v>0</v>
      </c>
      <c r="AN22" s="88">
        <f t="shared" si="12"/>
        <v>0</v>
      </c>
      <c r="AO22" s="88">
        <f t="shared" si="0"/>
        <v>0</v>
      </c>
      <c r="AP22" s="88">
        <f t="shared" si="1"/>
        <v>0</v>
      </c>
      <c r="AQ22" s="88">
        <f t="shared" si="2"/>
        <v>0</v>
      </c>
      <c r="AR22" s="88">
        <f t="shared" si="3"/>
        <v>0</v>
      </c>
      <c r="AS22" s="88">
        <f t="shared" si="4"/>
        <v>0</v>
      </c>
      <c r="AT22" s="90">
        <f t="shared" si="5"/>
        <v>0</v>
      </c>
      <c r="AU22" s="88">
        <f t="shared" si="6"/>
        <v>0</v>
      </c>
      <c r="AV22" s="89" t="str">
        <f t="shared" si="7"/>
        <v>январь</v>
      </c>
    </row>
    <row r="23" spans="1:48" ht="45.95" customHeight="1" x14ac:dyDescent="0.25">
      <c r="A23" s="21"/>
      <c r="B23" s="79">
        <v>13</v>
      </c>
      <c r="C23" s="29"/>
      <c r="D23" s="45"/>
      <c r="E23" s="95"/>
      <c r="F23" s="96"/>
      <c r="G23" s="96"/>
      <c r="H23" s="96"/>
      <c r="I23" s="97"/>
      <c r="J23" s="98">
        <f t="shared" si="8"/>
        <v>0</v>
      </c>
      <c r="K23" s="98"/>
      <c r="L23" s="98"/>
      <c r="M23" s="98"/>
      <c r="N23" s="98"/>
      <c r="O23" s="99"/>
      <c r="P23" s="100"/>
      <c r="Q23" s="101"/>
      <c r="R23" s="102"/>
      <c r="S23" s="103"/>
      <c r="T23" s="103"/>
      <c r="U23" s="103"/>
      <c r="V23" s="103"/>
      <c r="W23" s="103"/>
      <c r="X23" s="103"/>
      <c r="Y23" s="103"/>
      <c r="Z23" s="103"/>
      <c r="AA23" s="103"/>
      <c r="AB23" s="103"/>
      <c r="AC23" s="103"/>
      <c r="AD23" s="104"/>
      <c r="AE23" s="105"/>
      <c r="AF23" s="106"/>
      <c r="AG23" s="106"/>
      <c r="AH23" s="106"/>
      <c r="AI23" s="107"/>
      <c r="AK23" s="89">
        <f t="shared" si="9"/>
        <v>13</v>
      </c>
      <c r="AL23" s="87">
        <f t="shared" si="10"/>
        <v>0</v>
      </c>
      <c r="AM23" s="87">
        <f t="shared" si="11"/>
        <v>0</v>
      </c>
      <c r="AN23" s="88">
        <f t="shared" si="12"/>
        <v>0</v>
      </c>
      <c r="AO23" s="88">
        <f t="shared" si="0"/>
        <v>0</v>
      </c>
      <c r="AP23" s="88">
        <f t="shared" si="1"/>
        <v>0</v>
      </c>
      <c r="AQ23" s="88">
        <f t="shared" si="2"/>
        <v>0</v>
      </c>
      <c r="AR23" s="88">
        <f t="shared" si="3"/>
        <v>0</v>
      </c>
      <c r="AS23" s="88">
        <f t="shared" si="4"/>
        <v>0</v>
      </c>
      <c r="AT23" s="90">
        <f t="shared" si="5"/>
        <v>0</v>
      </c>
      <c r="AU23" s="88">
        <f t="shared" si="6"/>
        <v>0</v>
      </c>
      <c r="AV23" s="89" t="str">
        <f t="shared" si="7"/>
        <v>январь</v>
      </c>
    </row>
    <row r="24" spans="1:48" ht="50.25" customHeight="1" x14ac:dyDescent="0.25">
      <c r="A24" s="21"/>
      <c r="B24" s="79">
        <v>14</v>
      </c>
      <c r="C24" s="29"/>
      <c r="D24" s="45"/>
      <c r="E24" s="95"/>
      <c r="F24" s="96"/>
      <c r="G24" s="96"/>
      <c r="H24" s="96"/>
      <c r="I24" s="97"/>
      <c r="J24" s="98">
        <f t="shared" si="8"/>
        <v>0</v>
      </c>
      <c r="K24" s="98"/>
      <c r="L24" s="98"/>
      <c r="M24" s="98"/>
      <c r="N24" s="98"/>
      <c r="O24" s="99"/>
      <c r="P24" s="100"/>
      <c r="Q24" s="101"/>
      <c r="R24" s="102"/>
      <c r="S24" s="103"/>
      <c r="T24" s="103"/>
      <c r="U24" s="103"/>
      <c r="V24" s="103"/>
      <c r="W24" s="103"/>
      <c r="X24" s="103"/>
      <c r="Y24" s="103"/>
      <c r="Z24" s="103"/>
      <c r="AA24" s="103"/>
      <c r="AB24" s="103"/>
      <c r="AC24" s="103"/>
      <c r="AD24" s="104"/>
      <c r="AE24" s="105"/>
      <c r="AF24" s="106"/>
      <c r="AG24" s="106"/>
      <c r="AH24" s="106"/>
      <c r="AI24" s="107"/>
      <c r="AK24" s="89">
        <f t="shared" si="9"/>
        <v>14</v>
      </c>
      <c r="AL24" s="87">
        <f t="shared" si="10"/>
        <v>0</v>
      </c>
      <c r="AM24" s="87">
        <f t="shared" si="11"/>
        <v>0</v>
      </c>
      <c r="AN24" s="88">
        <f t="shared" si="12"/>
        <v>0</v>
      </c>
      <c r="AO24" s="88">
        <f t="shared" si="0"/>
        <v>0</v>
      </c>
      <c r="AP24" s="88">
        <f t="shared" si="1"/>
        <v>0</v>
      </c>
      <c r="AQ24" s="88">
        <f t="shared" si="2"/>
        <v>0</v>
      </c>
      <c r="AR24" s="88">
        <f t="shared" si="3"/>
        <v>0</v>
      </c>
      <c r="AS24" s="88">
        <f t="shared" si="4"/>
        <v>0</v>
      </c>
      <c r="AT24" s="90">
        <f t="shared" si="5"/>
        <v>0</v>
      </c>
      <c r="AU24" s="88">
        <f t="shared" si="6"/>
        <v>0</v>
      </c>
      <c r="AV24" s="89" t="str">
        <f t="shared" si="7"/>
        <v>январь</v>
      </c>
    </row>
    <row r="25" spans="1:48" ht="47.25" customHeight="1" x14ac:dyDescent="0.25">
      <c r="A25" s="21"/>
      <c r="B25" s="79">
        <v>15</v>
      </c>
      <c r="C25" s="29"/>
      <c r="D25" s="45"/>
      <c r="E25" s="95"/>
      <c r="F25" s="96"/>
      <c r="G25" s="96"/>
      <c r="H25" s="96"/>
      <c r="I25" s="97"/>
      <c r="J25" s="98">
        <f t="shared" si="8"/>
        <v>0</v>
      </c>
      <c r="K25" s="98"/>
      <c r="L25" s="98"/>
      <c r="M25" s="98"/>
      <c r="N25" s="98"/>
      <c r="O25" s="99"/>
      <c r="P25" s="100"/>
      <c r="Q25" s="101"/>
      <c r="R25" s="102"/>
      <c r="S25" s="103"/>
      <c r="T25" s="103"/>
      <c r="U25" s="103"/>
      <c r="V25" s="103"/>
      <c r="W25" s="103"/>
      <c r="X25" s="103"/>
      <c r="Y25" s="103"/>
      <c r="Z25" s="103"/>
      <c r="AA25" s="103"/>
      <c r="AB25" s="103"/>
      <c r="AC25" s="103"/>
      <c r="AD25" s="104"/>
      <c r="AE25" s="105"/>
      <c r="AF25" s="106"/>
      <c r="AG25" s="106"/>
      <c r="AH25" s="106"/>
      <c r="AI25" s="107"/>
      <c r="AK25" s="89">
        <f t="shared" si="9"/>
        <v>15</v>
      </c>
      <c r="AL25" s="87">
        <f t="shared" si="10"/>
        <v>0</v>
      </c>
      <c r="AM25" s="87">
        <f t="shared" si="11"/>
        <v>0</v>
      </c>
      <c r="AN25" s="88">
        <f t="shared" si="12"/>
        <v>0</v>
      </c>
      <c r="AO25" s="88">
        <f t="shared" si="0"/>
        <v>0</v>
      </c>
      <c r="AP25" s="88">
        <f t="shared" si="1"/>
        <v>0</v>
      </c>
      <c r="AQ25" s="88">
        <f t="shared" si="2"/>
        <v>0</v>
      </c>
      <c r="AR25" s="88">
        <f t="shared" si="3"/>
        <v>0</v>
      </c>
      <c r="AS25" s="88">
        <f t="shared" si="4"/>
        <v>0</v>
      </c>
      <c r="AT25" s="90">
        <f t="shared" si="5"/>
        <v>0</v>
      </c>
      <c r="AU25" s="88">
        <f t="shared" si="6"/>
        <v>0</v>
      </c>
      <c r="AV25" s="89" t="str">
        <f t="shared" si="7"/>
        <v>январь</v>
      </c>
    </row>
    <row r="26" spans="1:48" ht="56.25" customHeight="1" x14ac:dyDescent="0.25">
      <c r="A26" s="21"/>
      <c r="B26" s="79">
        <v>16</v>
      </c>
      <c r="C26" s="29"/>
      <c r="D26" s="45"/>
      <c r="E26" s="95"/>
      <c r="F26" s="96"/>
      <c r="G26" s="96"/>
      <c r="H26" s="96"/>
      <c r="I26" s="97"/>
      <c r="J26" s="98">
        <f t="shared" si="8"/>
        <v>0</v>
      </c>
      <c r="K26" s="98"/>
      <c r="L26" s="98"/>
      <c r="M26" s="98"/>
      <c r="N26" s="98"/>
      <c r="O26" s="99"/>
      <c r="P26" s="100"/>
      <c r="Q26" s="101"/>
      <c r="R26" s="102"/>
      <c r="S26" s="103"/>
      <c r="T26" s="103"/>
      <c r="U26" s="103"/>
      <c r="V26" s="103"/>
      <c r="W26" s="103"/>
      <c r="X26" s="103"/>
      <c r="Y26" s="103"/>
      <c r="Z26" s="103"/>
      <c r="AA26" s="103"/>
      <c r="AB26" s="103"/>
      <c r="AC26" s="103"/>
      <c r="AD26" s="104"/>
      <c r="AE26" s="105"/>
      <c r="AF26" s="106"/>
      <c r="AG26" s="106"/>
      <c r="AH26" s="106"/>
      <c r="AI26" s="107"/>
      <c r="AK26" s="89">
        <f t="shared" si="9"/>
        <v>16</v>
      </c>
      <c r="AL26" s="87">
        <f t="shared" si="10"/>
        <v>0</v>
      </c>
      <c r="AM26" s="87">
        <f t="shared" si="11"/>
        <v>0</v>
      </c>
      <c r="AN26" s="88">
        <f t="shared" si="12"/>
        <v>0</v>
      </c>
      <c r="AO26" s="88">
        <f t="shared" si="0"/>
        <v>0</v>
      </c>
      <c r="AP26" s="88">
        <f t="shared" si="1"/>
        <v>0</v>
      </c>
      <c r="AQ26" s="88">
        <f t="shared" si="2"/>
        <v>0</v>
      </c>
      <c r="AR26" s="88">
        <f t="shared" si="3"/>
        <v>0</v>
      </c>
      <c r="AS26" s="88">
        <f t="shared" si="4"/>
        <v>0</v>
      </c>
      <c r="AT26" s="90">
        <f t="shared" si="5"/>
        <v>0</v>
      </c>
      <c r="AU26" s="88">
        <f t="shared" si="6"/>
        <v>0</v>
      </c>
      <c r="AV26" s="89" t="str">
        <f t="shared" si="7"/>
        <v>январь</v>
      </c>
    </row>
    <row r="27" spans="1:48" ht="57" customHeight="1" x14ac:dyDescent="0.25">
      <c r="A27" s="21"/>
      <c r="B27" s="79">
        <v>17</v>
      </c>
      <c r="C27" s="29"/>
      <c r="D27" s="45"/>
      <c r="E27" s="95"/>
      <c r="F27" s="96"/>
      <c r="G27" s="96"/>
      <c r="H27" s="96"/>
      <c r="I27" s="97"/>
      <c r="J27" s="98">
        <f t="shared" si="8"/>
        <v>0</v>
      </c>
      <c r="K27" s="98"/>
      <c r="L27" s="98"/>
      <c r="M27" s="98"/>
      <c r="N27" s="98"/>
      <c r="O27" s="99"/>
      <c r="P27" s="100"/>
      <c r="Q27" s="101"/>
      <c r="R27" s="102"/>
      <c r="S27" s="103"/>
      <c r="T27" s="103"/>
      <c r="U27" s="103"/>
      <c r="V27" s="103"/>
      <c r="W27" s="103"/>
      <c r="X27" s="103"/>
      <c r="Y27" s="103"/>
      <c r="Z27" s="103"/>
      <c r="AA27" s="103"/>
      <c r="AB27" s="103"/>
      <c r="AC27" s="103"/>
      <c r="AD27" s="104"/>
      <c r="AE27" s="105"/>
      <c r="AF27" s="106"/>
      <c r="AG27" s="106"/>
      <c r="AH27" s="106"/>
      <c r="AI27" s="107"/>
      <c r="AK27" s="89">
        <f t="shared" si="9"/>
        <v>17</v>
      </c>
      <c r="AL27" s="87">
        <f t="shared" si="10"/>
        <v>0</v>
      </c>
      <c r="AM27" s="87">
        <f t="shared" si="11"/>
        <v>0</v>
      </c>
      <c r="AN27" s="88">
        <f t="shared" si="12"/>
        <v>0</v>
      </c>
      <c r="AO27" s="88">
        <f t="shared" si="0"/>
        <v>0</v>
      </c>
      <c r="AP27" s="88">
        <f t="shared" si="1"/>
        <v>0</v>
      </c>
      <c r="AQ27" s="88">
        <f t="shared" si="2"/>
        <v>0</v>
      </c>
      <c r="AR27" s="88">
        <f t="shared" si="3"/>
        <v>0</v>
      </c>
      <c r="AS27" s="88">
        <f t="shared" si="4"/>
        <v>0</v>
      </c>
      <c r="AT27" s="90">
        <f t="shared" si="5"/>
        <v>0</v>
      </c>
      <c r="AU27" s="88">
        <f t="shared" si="6"/>
        <v>0</v>
      </c>
      <c r="AV27" s="89" t="str">
        <f t="shared" si="7"/>
        <v>январь</v>
      </c>
    </row>
    <row r="28" spans="1:48" ht="41.45" customHeight="1" x14ac:dyDescent="0.25">
      <c r="A28" s="21"/>
      <c r="B28" s="79">
        <v>18</v>
      </c>
      <c r="C28" s="29"/>
      <c r="D28" s="45"/>
      <c r="E28" s="95"/>
      <c r="F28" s="96"/>
      <c r="G28" s="96"/>
      <c r="H28" s="96"/>
      <c r="I28" s="97"/>
      <c r="J28" s="98">
        <f t="shared" si="8"/>
        <v>0</v>
      </c>
      <c r="K28" s="98"/>
      <c r="L28" s="98"/>
      <c r="M28" s="98"/>
      <c r="N28" s="98"/>
      <c r="O28" s="99"/>
      <c r="P28" s="100"/>
      <c r="Q28" s="101"/>
      <c r="R28" s="108"/>
      <c r="S28" s="109"/>
      <c r="T28" s="109"/>
      <c r="U28" s="109"/>
      <c r="V28" s="109"/>
      <c r="W28" s="109"/>
      <c r="X28" s="109"/>
      <c r="Y28" s="109"/>
      <c r="Z28" s="109"/>
      <c r="AA28" s="109"/>
      <c r="AB28" s="109"/>
      <c r="AC28" s="109"/>
      <c r="AD28" s="110"/>
      <c r="AE28" s="105"/>
      <c r="AF28" s="106"/>
      <c r="AG28" s="106"/>
      <c r="AH28" s="106"/>
      <c r="AI28" s="107"/>
      <c r="AK28" s="89">
        <f t="shared" si="9"/>
        <v>18</v>
      </c>
      <c r="AL28" s="87">
        <f t="shared" si="10"/>
        <v>0</v>
      </c>
      <c r="AM28" s="87">
        <f t="shared" si="11"/>
        <v>0</v>
      </c>
      <c r="AN28" s="88">
        <f t="shared" si="12"/>
        <v>0</v>
      </c>
      <c r="AO28" s="88">
        <f t="shared" si="0"/>
        <v>0</v>
      </c>
      <c r="AP28" s="88">
        <f t="shared" si="1"/>
        <v>0</v>
      </c>
      <c r="AQ28" s="88">
        <f t="shared" si="2"/>
        <v>0</v>
      </c>
      <c r="AR28" s="88">
        <f t="shared" si="3"/>
        <v>0</v>
      </c>
      <c r="AS28" s="88">
        <f t="shared" si="4"/>
        <v>0</v>
      </c>
      <c r="AT28" s="90">
        <f t="shared" si="5"/>
        <v>0</v>
      </c>
      <c r="AU28" s="88">
        <f t="shared" si="6"/>
        <v>0</v>
      </c>
      <c r="AV28" s="89" t="str">
        <f t="shared" si="7"/>
        <v>январь</v>
      </c>
    </row>
    <row r="29" spans="1:48" ht="34.5" customHeight="1" x14ac:dyDescent="0.25">
      <c r="A29" s="21"/>
      <c r="B29" s="79">
        <v>19</v>
      </c>
      <c r="C29" s="29"/>
      <c r="D29" s="45"/>
      <c r="E29" s="95"/>
      <c r="F29" s="96"/>
      <c r="G29" s="96"/>
      <c r="H29" s="96"/>
      <c r="I29" s="97"/>
      <c r="J29" s="98">
        <f t="shared" si="8"/>
        <v>0</v>
      </c>
      <c r="K29" s="98"/>
      <c r="L29" s="98"/>
      <c r="M29" s="98"/>
      <c r="N29" s="98"/>
      <c r="O29" s="99"/>
      <c r="P29" s="100"/>
      <c r="Q29" s="101"/>
      <c r="R29" s="108"/>
      <c r="S29" s="109"/>
      <c r="T29" s="109"/>
      <c r="U29" s="109"/>
      <c r="V29" s="109"/>
      <c r="W29" s="109"/>
      <c r="X29" s="109"/>
      <c r="Y29" s="109"/>
      <c r="Z29" s="109"/>
      <c r="AA29" s="109"/>
      <c r="AB29" s="109"/>
      <c r="AC29" s="109"/>
      <c r="AD29" s="110"/>
      <c r="AE29" s="105"/>
      <c r="AF29" s="106"/>
      <c r="AG29" s="106"/>
      <c r="AH29" s="106"/>
      <c r="AI29" s="107"/>
      <c r="AK29" s="89">
        <f t="shared" si="9"/>
        <v>19</v>
      </c>
      <c r="AL29" s="87">
        <f t="shared" si="10"/>
        <v>0</v>
      </c>
      <c r="AM29" s="87">
        <f t="shared" si="11"/>
        <v>0</v>
      </c>
      <c r="AN29" s="88">
        <f t="shared" si="12"/>
        <v>0</v>
      </c>
      <c r="AO29" s="88">
        <f t="shared" si="0"/>
        <v>0</v>
      </c>
      <c r="AP29" s="88">
        <f t="shared" si="1"/>
        <v>0</v>
      </c>
      <c r="AQ29" s="88">
        <f t="shared" si="2"/>
        <v>0</v>
      </c>
      <c r="AR29" s="88">
        <f t="shared" si="3"/>
        <v>0</v>
      </c>
      <c r="AS29" s="88">
        <f t="shared" si="4"/>
        <v>0</v>
      </c>
      <c r="AT29" s="90">
        <f t="shared" si="5"/>
        <v>0</v>
      </c>
      <c r="AU29" s="88">
        <f t="shared" si="6"/>
        <v>0</v>
      </c>
      <c r="AV29" s="89" t="str">
        <f t="shared" si="7"/>
        <v>январь</v>
      </c>
    </row>
    <row r="30" spans="1:48" ht="29.25" customHeight="1" x14ac:dyDescent="0.25">
      <c r="A30" s="21"/>
      <c r="B30" s="79">
        <v>20</v>
      </c>
      <c r="C30" s="29"/>
      <c r="D30" s="45"/>
      <c r="E30" s="95"/>
      <c r="F30" s="96"/>
      <c r="G30" s="96"/>
      <c r="H30" s="96"/>
      <c r="I30" s="97"/>
      <c r="J30" s="98">
        <f t="shared" si="8"/>
        <v>0</v>
      </c>
      <c r="K30" s="98"/>
      <c r="L30" s="98"/>
      <c r="M30" s="98"/>
      <c r="N30" s="98"/>
      <c r="O30" s="99"/>
      <c r="P30" s="100"/>
      <c r="Q30" s="101"/>
      <c r="R30" s="108"/>
      <c r="S30" s="109"/>
      <c r="T30" s="109"/>
      <c r="U30" s="109"/>
      <c r="V30" s="109"/>
      <c r="W30" s="109"/>
      <c r="X30" s="109"/>
      <c r="Y30" s="109"/>
      <c r="Z30" s="109"/>
      <c r="AA30" s="109"/>
      <c r="AB30" s="109"/>
      <c r="AC30" s="109"/>
      <c r="AD30" s="110"/>
      <c r="AE30" s="105"/>
      <c r="AF30" s="106"/>
      <c r="AG30" s="106"/>
      <c r="AH30" s="106"/>
      <c r="AI30" s="107"/>
      <c r="AK30" s="89">
        <f t="shared" si="9"/>
        <v>20</v>
      </c>
      <c r="AL30" s="87">
        <f t="shared" si="10"/>
        <v>0</v>
      </c>
      <c r="AM30" s="87">
        <f t="shared" si="11"/>
        <v>0</v>
      </c>
      <c r="AN30" s="88">
        <f t="shared" si="12"/>
        <v>0</v>
      </c>
      <c r="AO30" s="88">
        <f t="shared" si="0"/>
        <v>0</v>
      </c>
      <c r="AP30" s="88">
        <f t="shared" si="1"/>
        <v>0</v>
      </c>
      <c r="AQ30" s="88">
        <f t="shared" si="2"/>
        <v>0</v>
      </c>
      <c r="AR30" s="88">
        <f t="shared" si="3"/>
        <v>0</v>
      </c>
      <c r="AS30" s="88">
        <f t="shared" si="4"/>
        <v>0</v>
      </c>
      <c r="AT30" s="90">
        <f t="shared" si="5"/>
        <v>0</v>
      </c>
      <c r="AU30" s="88">
        <f t="shared" si="6"/>
        <v>0</v>
      </c>
      <c r="AV30" s="89" t="str">
        <f t="shared" si="7"/>
        <v>январь</v>
      </c>
    </row>
    <row r="31" spans="1:48" ht="45.95" customHeight="1" x14ac:dyDescent="0.25">
      <c r="A31" s="21"/>
      <c r="B31" s="79">
        <v>21</v>
      </c>
      <c r="C31" s="29"/>
      <c r="D31" s="45"/>
      <c r="E31" s="95"/>
      <c r="F31" s="96"/>
      <c r="G31" s="96"/>
      <c r="H31" s="96"/>
      <c r="I31" s="97"/>
      <c r="J31" s="98">
        <f t="shared" si="8"/>
        <v>0</v>
      </c>
      <c r="K31" s="98"/>
      <c r="L31" s="98"/>
      <c r="M31" s="98"/>
      <c r="N31" s="98"/>
      <c r="O31" s="99"/>
      <c r="P31" s="100"/>
      <c r="Q31" s="101"/>
      <c r="R31" s="102"/>
      <c r="S31" s="103"/>
      <c r="T31" s="103"/>
      <c r="U31" s="103"/>
      <c r="V31" s="103"/>
      <c r="W31" s="103"/>
      <c r="X31" s="103"/>
      <c r="Y31" s="103"/>
      <c r="Z31" s="103"/>
      <c r="AA31" s="103"/>
      <c r="AB31" s="103"/>
      <c r="AC31" s="103"/>
      <c r="AD31" s="104"/>
      <c r="AE31" s="105"/>
      <c r="AF31" s="106"/>
      <c r="AG31" s="106"/>
      <c r="AH31" s="106"/>
      <c r="AI31" s="107"/>
      <c r="AK31" s="89">
        <f t="shared" si="9"/>
        <v>21</v>
      </c>
      <c r="AL31" s="87">
        <f t="shared" si="10"/>
        <v>0</v>
      </c>
      <c r="AM31" s="87">
        <f t="shared" si="11"/>
        <v>0</v>
      </c>
      <c r="AN31" s="88">
        <f t="shared" si="12"/>
        <v>0</v>
      </c>
      <c r="AO31" s="88">
        <f t="shared" si="0"/>
        <v>0</v>
      </c>
      <c r="AP31" s="88">
        <f t="shared" si="1"/>
        <v>0</v>
      </c>
      <c r="AQ31" s="88">
        <f t="shared" si="2"/>
        <v>0</v>
      </c>
      <c r="AR31" s="88">
        <f t="shared" si="3"/>
        <v>0</v>
      </c>
      <c r="AS31" s="88">
        <f t="shared" si="4"/>
        <v>0</v>
      </c>
      <c r="AT31" s="90">
        <f t="shared" si="5"/>
        <v>0</v>
      </c>
      <c r="AU31" s="88">
        <f t="shared" si="6"/>
        <v>0</v>
      </c>
      <c r="AV31" s="89" t="str">
        <f t="shared" si="7"/>
        <v>январь</v>
      </c>
    </row>
    <row r="32" spans="1:48" ht="45.95" customHeight="1" x14ac:dyDescent="0.25">
      <c r="A32" s="21"/>
      <c r="B32" s="79">
        <v>22</v>
      </c>
      <c r="C32" s="29"/>
      <c r="D32" s="45"/>
      <c r="E32" s="95"/>
      <c r="F32" s="96"/>
      <c r="G32" s="96"/>
      <c r="H32" s="96"/>
      <c r="I32" s="97"/>
      <c r="J32" s="98">
        <f t="shared" si="8"/>
        <v>0</v>
      </c>
      <c r="K32" s="98"/>
      <c r="L32" s="98"/>
      <c r="M32" s="98"/>
      <c r="N32" s="98"/>
      <c r="O32" s="99"/>
      <c r="P32" s="100"/>
      <c r="Q32" s="101"/>
      <c r="R32" s="102"/>
      <c r="S32" s="103"/>
      <c r="T32" s="103"/>
      <c r="U32" s="103"/>
      <c r="V32" s="103"/>
      <c r="W32" s="103"/>
      <c r="X32" s="103"/>
      <c r="Y32" s="103"/>
      <c r="Z32" s="103"/>
      <c r="AA32" s="103"/>
      <c r="AB32" s="103"/>
      <c r="AC32" s="103"/>
      <c r="AD32" s="104"/>
      <c r="AE32" s="105"/>
      <c r="AF32" s="106"/>
      <c r="AG32" s="106"/>
      <c r="AH32" s="106"/>
      <c r="AI32" s="107"/>
      <c r="AK32" s="89">
        <f t="shared" si="9"/>
        <v>22</v>
      </c>
      <c r="AL32" s="87">
        <f t="shared" si="10"/>
        <v>0</v>
      </c>
      <c r="AM32" s="87">
        <f t="shared" si="11"/>
        <v>0</v>
      </c>
      <c r="AN32" s="88">
        <f t="shared" si="12"/>
        <v>0</v>
      </c>
      <c r="AO32" s="88">
        <f t="shared" si="0"/>
        <v>0</v>
      </c>
      <c r="AP32" s="88">
        <f t="shared" si="1"/>
        <v>0</v>
      </c>
      <c r="AQ32" s="88">
        <f t="shared" si="2"/>
        <v>0</v>
      </c>
      <c r="AR32" s="88">
        <f t="shared" si="3"/>
        <v>0</v>
      </c>
      <c r="AS32" s="88">
        <f t="shared" si="4"/>
        <v>0</v>
      </c>
      <c r="AT32" s="90">
        <f t="shared" si="5"/>
        <v>0</v>
      </c>
      <c r="AU32" s="88">
        <f t="shared" si="6"/>
        <v>0</v>
      </c>
      <c r="AV32" s="89" t="str">
        <f t="shared" si="7"/>
        <v>январь</v>
      </c>
    </row>
    <row r="33" spans="1:48" ht="45.95" customHeight="1" x14ac:dyDescent="0.25">
      <c r="A33" s="21"/>
      <c r="B33" s="79">
        <v>23</v>
      </c>
      <c r="C33" s="29"/>
      <c r="D33" s="45"/>
      <c r="E33" s="95"/>
      <c r="F33" s="96"/>
      <c r="G33" s="96"/>
      <c r="H33" s="96"/>
      <c r="I33" s="97"/>
      <c r="J33" s="98">
        <f t="shared" si="8"/>
        <v>0</v>
      </c>
      <c r="K33" s="98"/>
      <c r="L33" s="98"/>
      <c r="M33" s="98"/>
      <c r="N33" s="98"/>
      <c r="O33" s="99"/>
      <c r="P33" s="100"/>
      <c r="Q33" s="101"/>
      <c r="R33" s="102"/>
      <c r="S33" s="103"/>
      <c r="T33" s="103"/>
      <c r="U33" s="103"/>
      <c r="V33" s="103"/>
      <c r="W33" s="103"/>
      <c r="X33" s="103"/>
      <c r="Y33" s="103"/>
      <c r="Z33" s="103"/>
      <c r="AA33" s="103"/>
      <c r="AB33" s="103"/>
      <c r="AC33" s="103"/>
      <c r="AD33" s="104"/>
      <c r="AE33" s="105"/>
      <c r="AF33" s="106"/>
      <c r="AG33" s="106"/>
      <c r="AH33" s="106"/>
      <c r="AI33" s="107"/>
      <c r="AK33" s="89">
        <f t="shared" si="9"/>
        <v>23</v>
      </c>
      <c r="AL33" s="87">
        <f t="shared" si="10"/>
        <v>0</v>
      </c>
      <c r="AM33" s="87">
        <f t="shared" si="11"/>
        <v>0</v>
      </c>
      <c r="AN33" s="88">
        <f t="shared" si="12"/>
        <v>0</v>
      </c>
      <c r="AO33" s="88">
        <f t="shared" si="0"/>
        <v>0</v>
      </c>
      <c r="AP33" s="88">
        <f t="shared" si="1"/>
        <v>0</v>
      </c>
      <c r="AQ33" s="88">
        <f t="shared" si="2"/>
        <v>0</v>
      </c>
      <c r="AR33" s="88">
        <f t="shared" si="3"/>
        <v>0</v>
      </c>
      <c r="AS33" s="88">
        <f t="shared" si="4"/>
        <v>0</v>
      </c>
      <c r="AT33" s="90">
        <f t="shared" si="5"/>
        <v>0</v>
      </c>
      <c r="AU33" s="88">
        <f t="shared" si="6"/>
        <v>0</v>
      </c>
      <c r="AV33" s="89" t="str">
        <f t="shared" si="7"/>
        <v>январь</v>
      </c>
    </row>
    <row r="34" spans="1:48" ht="45.95" customHeight="1" x14ac:dyDescent="0.25">
      <c r="A34" s="21"/>
      <c r="B34" s="79">
        <v>24</v>
      </c>
      <c r="C34" s="29"/>
      <c r="D34" s="45"/>
      <c r="E34" s="95"/>
      <c r="F34" s="96"/>
      <c r="G34" s="96"/>
      <c r="H34" s="96"/>
      <c r="I34" s="97"/>
      <c r="J34" s="98">
        <f t="shared" si="8"/>
        <v>0</v>
      </c>
      <c r="K34" s="98"/>
      <c r="L34" s="98"/>
      <c r="M34" s="98"/>
      <c r="N34" s="98"/>
      <c r="O34" s="99"/>
      <c r="P34" s="100"/>
      <c r="Q34" s="101"/>
      <c r="R34" s="102"/>
      <c r="S34" s="103"/>
      <c r="T34" s="103"/>
      <c r="U34" s="103"/>
      <c r="V34" s="103"/>
      <c r="W34" s="103"/>
      <c r="X34" s="103"/>
      <c r="Y34" s="103"/>
      <c r="Z34" s="103"/>
      <c r="AA34" s="103"/>
      <c r="AB34" s="103"/>
      <c r="AC34" s="103"/>
      <c r="AD34" s="104"/>
      <c r="AE34" s="105"/>
      <c r="AF34" s="106"/>
      <c r="AG34" s="106"/>
      <c r="AH34" s="106"/>
      <c r="AI34" s="107"/>
      <c r="AK34" s="89">
        <f t="shared" si="9"/>
        <v>24</v>
      </c>
      <c r="AL34" s="87">
        <f t="shared" si="10"/>
        <v>0</v>
      </c>
      <c r="AM34" s="87">
        <f t="shared" si="11"/>
        <v>0</v>
      </c>
      <c r="AN34" s="88">
        <f t="shared" si="12"/>
        <v>0</v>
      </c>
      <c r="AO34" s="88">
        <f t="shared" si="0"/>
        <v>0</v>
      </c>
      <c r="AP34" s="88">
        <f t="shared" si="1"/>
        <v>0</v>
      </c>
      <c r="AQ34" s="88">
        <f t="shared" si="2"/>
        <v>0</v>
      </c>
      <c r="AR34" s="88">
        <f t="shared" si="3"/>
        <v>0</v>
      </c>
      <c r="AS34" s="88">
        <f t="shared" si="4"/>
        <v>0</v>
      </c>
      <c r="AT34" s="90">
        <f t="shared" si="5"/>
        <v>0</v>
      </c>
      <c r="AU34" s="88">
        <f t="shared" si="6"/>
        <v>0</v>
      </c>
      <c r="AV34" s="89" t="str">
        <f t="shared" si="7"/>
        <v>январь</v>
      </c>
    </row>
    <row r="35" spans="1:48" ht="45.95" customHeight="1" x14ac:dyDescent="0.25">
      <c r="A35" s="21"/>
      <c r="B35" s="79">
        <v>25</v>
      </c>
      <c r="C35" s="29"/>
      <c r="D35" s="45"/>
      <c r="E35" s="95"/>
      <c r="F35" s="96"/>
      <c r="G35" s="96"/>
      <c r="H35" s="96"/>
      <c r="I35" s="97"/>
      <c r="J35" s="98">
        <f t="shared" si="8"/>
        <v>0</v>
      </c>
      <c r="K35" s="98"/>
      <c r="L35" s="98"/>
      <c r="M35" s="98"/>
      <c r="N35" s="98"/>
      <c r="O35" s="99"/>
      <c r="P35" s="100"/>
      <c r="Q35" s="101"/>
      <c r="R35" s="102"/>
      <c r="S35" s="103"/>
      <c r="T35" s="103"/>
      <c r="U35" s="103"/>
      <c r="V35" s="103"/>
      <c r="W35" s="103"/>
      <c r="X35" s="103"/>
      <c r="Y35" s="103"/>
      <c r="Z35" s="103"/>
      <c r="AA35" s="103"/>
      <c r="AB35" s="103"/>
      <c r="AC35" s="103"/>
      <c r="AD35" s="104"/>
      <c r="AE35" s="105"/>
      <c r="AF35" s="106"/>
      <c r="AG35" s="106"/>
      <c r="AH35" s="106"/>
      <c r="AI35" s="107"/>
      <c r="AK35" s="89">
        <f t="shared" si="9"/>
        <v>25</v>
      </c>
      <c r="AL35" s="87">
        <f t="shared" si="10"/>
        <v>0</v>
      </c>
      <c r="AM35" s="87">
        <f t="shared" si="11"/>
        <v>0</v>
      </c>
      <c r="AN35" s="88">
        <f t="shared" si="12"/>
        <v>0</v>
      </c>
      <c r="AO35" s="88">
        <f t="shared" si="0"/>
        <v>0</v>
      </c>
      <c r="AP35" s="88">
        <f t="shared" si="1"/>
        <v>0</v>
      </c>
      <c r="AQ35" s="88">
        <f t="shared" si="2"/>
        <v>0</v>
      </c>
      <c r="AR35" s="88">
        <f t="shared" si="3"/>
        <v>0</v>
      </c>
      <c r="AS35" s="88">
        <f t="shared" si="4"/>
        <v>0</v>
      </c>
      <c r="AT35" s="90">
        <f t="shared" si="5"/>
        <v>0</v>
      </c>
      <c r="AU35" s="88">
        <f t="shared" si="6"/>
        <v>0</v>
      </c>
      <c r="AV35" s="89" t="str">
        <f t="shared" si="7"/>
        <v>январь</v>
      </c>
    </row>
    <row r="36" spans="1:48" ht="45.95" customHeight="1" x14ac:dyDescent="0.25">
      <c r="A36" s="21"/>
      <c r="B36" s="79">
        <v>26</v>
      </c>
      <c r="C36" s="29"/>
      <c r="D36" s="45"/>
      <c r="E36" s="95"/>
      <c r="F36" s="96"/>
      <c r="G36" s="96"/>
      <c r="H36" s="96"/>
      <c r="I36" s="97"/>
      <c r="J36" s="98">
        <f t="shared" si="8"/>
        <v>0</v>
      </c>
      <c r="K36" s="98"/>
      <c r="L36" s="98"/>
      <c r="M36" s="98"/>
      <c r="N36" s="98"/>
      <c r="O36" s="99"/>
      <c r="P36" s="100"/>
      <c r="Q36" s="101"/>
      <c r="R36" s="102"/>
      <c r="S36" s="103"/>
      <c r="T36" s="103"/>
      <c r="U36" s="103"/>
      <c r="V36" s="103"/>
      <c r="W36" s="103"/>
      <c r="X36" s="103"/>
      <c r="Y36" s="103"/>
      <c r="Z36" s="103"/>
      <c r="AA36" s="103"/>
      <c r="AB36" s="103"/>
      <c r="AC36" s="103"/>
      <c r="AD36" s="104"/>
      <c r="AE36" s="105"/>
      <c r="AF36" s="106"/>
      <c r="AG36" s="106"/>
      <c r="AH36" s="106"/>
      <c r="AI36" s="107"/>
      <c r="AK36" s="89">
        <f t="shared" si="9"/>
        <v>26</v>
      </c>
      <c r="AL36" s="87">
        <f t="shared" si="10"/>
        <v>0</v>
      </c>
      <c r="AM36" s="87">
        <f t="shared" si="11"/>
        <v>0</v>
      </c>
      <c r="AN36" s="88">
        <f t="shared" si="12"/>
        <v>0</v>
      </c>
      <c r="AO36" s="88">
        <f t="shared" si="0"/>
        <v>0</v>
      </c>
      <c r="AP36" s="88">
        <f t="shared" si="1"/>
        <v>0</v>
      </c>
      <c r="AQ36" s="88">
        <f t="shared" si="2"/>
        <v>0</v>
      </c>
      <c r="AR36" s="88">
        <f t="shared" si="3"/>
        <v>0</v>
      </c>
      <c r="AS36" s="88">
        <f t="shared" si="4"/>
        <v>0</v>
      </c>
      <c r="AT36" s="90">
        <f t="shared" si="5"/>
        <v>0</v>
      </c>
      <c r="AU36" s="88">
        <f t="shared" si="6"/>
        <v>0</v>
      </c>
      <c r="AV36" s="89" t="str">
        <f t="shared" si="7"/>
        <v>январь</v>
      </c>
    </row>
    <row r="37" spans="1:48" ht="45.95" customHeight="1" x14ac:dyDescent="0.25">
      <c r="A37" s="21"/>
      <c r="B37" s="79">
        <v>27</v>
      </c>
      <c r="C37" s="29"/>
      <c r="D37" s="45"/>
      <c r="E37" s="95"/>
      <c r="F37" s="96"/>
      <c r="G37" s="96"/>
      <c r="H37" s="96"/>
      <c r="I37" s="97"/>
      <c r="J37" s="98">
        <f t="shared" si="8"/>
        <v>0</v>
      </c>
      <c r="K37" s="98"/>
      <c r="L37" s="98"/>
      <c r="M37" s="98"/>
      <c r="N37" s="98"/>
      <c r="O37" s="99"/>
      <c r="P37" s="100"/>
      <c r="Q37" s="101"/>
      <c r="R37" s="102"/>
      <c r="S37" s="103"/>
      <c r="T37" s="103"/>
      <c r="U37" s="103"/>
      <c r="V37" s="103"/>
      <c r="W37" s="103"/>
      <c r="X37" s="103"/>
      <c r="Y37" s="103"/>
      <c r="Z37" s="103"/>
      <c r="AA37" s="103"/>
      <c r="AB37" s="103"/>
      <c r="AC37" s="103"/>
      <c r="AD37" s="104"/>
      <c r="AE37" s="105"/>
      <c r="AF37" s="106"/>
      <c r="AG37" s="106"/>
      <c r="AH37" s="106"/>
      <c r="AI37" s="107"/>
      <c r="AK37" s="89">
        <f t="shared" si="9"/>
        <v>27</v>
      </c>
      <c r="AL37" s="87">
        <f t="shared" si="10"/>
        <v>0</v>
      </c>
      <c r="AM37" s="87">
        <f t="shared" si="11"/>
        <v>0</v>
      </c>
      <c r="AN37" s="88">
        <f t="shared" si="12"/>
        <v>0</v>
      </c>
      <c r="AO37" s="88">
        <f t="shared" si="0"/>
        <v>0</v>
      </c>
      <c r="AP37" s="88">
        <f t="shared" si="1"/>
        <v>0</v>
      </c>
      <c r="AQ37" s="88">
        <f t="shared" si="2"/>
        <v>0</v>
      </c>
      <c r="AR37" s="88">
        <f t="shared" si="3"/>
        <v>0</v>
      </c>
      <c r="AS37" s="88">
        <f t="shared" si="4"/>
        <v>0</v>
      </c>
      <c r="AT37" s="90">
        <f t="shared" si="5"/>
        <v>0</v>
      </c>
      <c r="AU37" s="88">
        <f t="shared" si="6"/>
        <v>0</v>
      </c>
      <c r="AV37" s="89" t="str">
        <f t="shared" si="7"/>
        <v>январь</v>
      </c>
    </row>
    <row r="38" spans="1:48" ht="45.95" customHeight="1" x14ac:dyDescent="0.25">
      <c r="A38" s="21"/>
      <c r="B38" s="80">
        <v>28</v>
      </c>
      <c r="C38" s="29"/>
      <c r="D38" s="45"/>
      <c r="E38" s="95"/>
      <c r="F38" s="96"/>
      <c r="G38" s="96"/>
      <c r="H38" s="96"/>
      <c r="I38" s="97"/>
      <c r="J38" s="98">
        <f t="shared" si="8"/>
        <v>0</v>
      </c>
      <c r="K38" s="98"/>
      <c r="L38" s="98"/>
      <c r="M38" s="98"/>
      <c r="N38" s="98"/>
      <c r="O38" s="99"/>
      <c r="P38" s="100"/>
      <c r="Q38" s="101"/>
      <c r="R38" s="102"/>
      <c r="S38" s="103"/>
      <c r="T38" s="103"/>
      <c r="U38" s="103"/>
      <c r="V38" s="103"/>
      <c r="W38" s="103"/>
      <c r="X38" s="103"/>
      <c r="Y38" s="103"/>
      <c r="Z38" s="103"/>
      <c r="AA38" s="103"/>
      <c r="AB38" s="103"/>
      <c r="AC38" s="103"/>
      <c r="AD38" s="104"/>
      <c r="AE38" s="105"/>
      <c r="AF38" s="106"/>
      <c r="AG38" s="106"/>
      <c r="AH38" s="106"/>
      <c r="AI38" s="107"/>
      <c r="AK38" s="89">
        <f t="shared" si="9"/>
        <v>28</v>
      </c>
      <c r="AL38" s="87">
        <f t="shared" si="10"/>
        <v>0</v>
      </c>
      <c r="AM38" s="87">
        <f t="shared" si="11"/>
        <v>0</v>
      </c>
      <c r="AN38" s="88">
        <f t="shared" si="12"/>
        <v>0</v>
      </c>
      <c r="AO38" s="88">
        <f t="shared" si="0"/>
        <v>0</v>
      </c>
      <c r="AP38" s="88">
        <f t="shared" si="1"/>
        <v>0</v>
      </c>
      <c r="AQ38" s="88">
        <f t="shared" si="2"/>
        <v>0</v>
      </c>
      <c r="AR38" s="88">
        <f t="shared" si="3"/>
        <v>0</v>
      </c>
      <c r="AS38" s="88">
        <f t="shared" si="4"/>
        <v>0</v>
      </c>
      <c r="AT38" s="90">
        <f t="shared" si="5"/>
        <v>0</v>
      </c>
      <c r="AU38" s="88">
        <f t="shared" si="6"/>
        <v>0</v>
      </c>
      <c r="AV38" s="89" t="str">
        <f t="shared" si="7"/>
        <v>январь</v>
      </c>
    </row>
    <row r="39" spans="1:48" ht="45.95" customHeight="1" x14ac:dyDescent="0.25">
      <c r="A39" s="21"/>
      <c r="B39" s="80">
        <v>29</v>
      </c>
      <c r="C39" s="29"/>
      <c r="D39" s="45"/>
      <c r="E39" s="95"/>
      <c r="F39" s="96"/>
      <c r="G39" s="96"/>
      <c r="H39" s="96"/>
      <c r="I39" s="97"/>
      <c r="J39" s="98">
        <f t="shared" si="8"/>
        <v>0</v>
      </c>
      <c r="K39" s="98"/>
      <c r="L39" s="98"/>
      <c r="M39" s="98"/>
      <c r="N39" s="98"/>
      <c r="O39" s="99"/>
      <c r="P39" s="100"/>
      <c r="Q39" s="101"/>
      <c r="R39" s="102"/>
      <c r="S39" s="103"/>
      <c r="T39" s="103"/>
      <c r="U39" s="103"/>
      <c r="V39" s="103"/>
      <c r="W39" s="103"/>
      <c r="X39" s="103"/>
      <c r="Y39" s="103"/>
      <c r="Z39" s="103"/>
      <c r="AA39" s="103"/>
      <c r="AB39" s="103"/>
      <c r="AC39" s="103"/>
      <c r="AD39" s="104"/>
      <c r="AE39" s="105"/>
      <c r="AF39" s="106"/>
      <c r="AG39" s="106"/>
      <c r="AH39" s="106"/>
      <c r="AI39" s="107"/>
      <c r="AK39" s="89">
        <f t="shared" si="9"/>
        <v>29</v>
      </c>
      <c r="AL39" s="87">
        <f t="shared" si="10"/>
        <v>0</v>
      </c>
      <c r="AM39" s="87">
        <f t="shared" si="11"/>
        <v>0</v>
      </c>
      <c r="AN39" s="88">
        <f t="shared" si="12"/>
        <v>0</v>
      </c>
      <c r="AO39" s="88">
        <f t="shared" si="0"/>
        <v>0</v>
      </c>
      <c r="AP39" s="88">
        <f t="shared" si="1"/>
        <v>0</v>
      </c>
      <c r="AQ39" s="88">
        <f t="shared" si="2"/>
        <v>0</v>
      </c>
      <c r="AR39" s="88">
        <f t="shared" si="3"/>
        <v>0</v>
      </c>
      <c r="AS39" s="88">
        <f t="shared" si="4"/>
        <v>0</v>
      </c>
      <c r="AT39" s="90">
        <f t="shared" si="5"/>
        <v>0</v>
      </c>
      <c r="AU39" s="88">
        <f t="shared" si="6"/>
        <v>0</v>
      </c>
      <c r="AV39" s="89" t="str">
        <f t="shared" si="7"/>
        <v>январь</v>
      </c>
    </row>
    <row r="40" spans="1:48" ht="45.95" customHeight="1" x14ac:dyDescent="0.25">
      <c r="A40" s="21"/>
      <c r="B40" s="80">
        <v>30</v>
      </c>
      <c r="C40" s="29"/>
      <c r="D40" s="45"/>
      <c r="E40" s="95"/>
      <c r="F40" s="96"/>
      <c r="G40" s="96"/>
      <c r="H40" s="96"/>
      <c r="I40" s="97"/>
      <c r="J40" s="98">
        <f t="shared" si="8"/>
        <v>0</v>
      </c>
      <c r="K40" s="98"/>
      <c r="L40" s="98"/>
      <c r="M40" s="98"/>
      <c r="N40" s="98"/>
      <c r="O40" s="99"/>
      <c r="P40" s="100"/>
      <c r="Q40" s="101"/>
      <c r="R40" s="102"/>
      <c r="S40" s="103"/>
      <c r="T40" s="103"/>
      <c r="U40" s="103"/>
      <c r="V40" s="103"/>
      <c r="W40" s="103"/>
      <c r="X40" s="103"/>
      <c r="Y40" s="103"/>
      <c r="Z40" s="103"/>
      <c r="AA40" s="103"/>
      <c r="AB40" s="103"/>
      <c r="AC40" s="103"/>
      <c r="AD40" s="104"/>
      <c r="AE40" s="105"/>
      <c r="AF40" s="106"/>
      <c r="AG40" s="106"/>
      <c r="AH40" s="106"/>
      <c r="AI40" s="107"/>
      <c r="AK40" s="89">
        <f t="shared" si="9"/>
        <v>30</v>
      </c>
      <c r="AL40" s="87">
        <f t="shared" si="10"/>
        <v>0</v>
      </c>
      <c r="AM40" s="87">
        <f t="shared" si="11"/>
        <v>0</v>
      </c>
      <c r="AN40" s="88">
        <f t="shared" si="12"/>
        <v>0</v>
      </c>
      <c r="AO40" s="88">
        <f t="shared" si="0"/>
        <v>0</v>
      </c>
      <c r="AP40" s="88">
        <f t="shared" si="1"/>
        <v>0</v>
      </c>
      <c r="AQ40" s="88">
        <f t="shared" si="2"/>
        <v>0</v>
      </c>
      <c r="AR40" s="88">
        <f t="shared" si="3"/>
        <v>0</v>
      </c>
      <c r="AS40" s="88">
        <f t="shared" si="4"/>
        <v>0</v>
      </c>
      <c r="AT40" s="90">
        <f t="shared" si="5"/>
        <v>0</v>
      </c>
      <c r="AU40" s="88">
        <f t="shared" si="6"/>
        <v>0</v>
      </c>
      <c r="AV40" s="89" t="str">
        <f t="shared" si="7"/>
        <v>январь</v>
      </c>
    </row>
    <row r="41" spans="1:48" ht="45.95" customHeight="1" x14ac:dyDescent="0.25">
      <c r="A41" s="21"/>
      <c r="B41" s="80">
        <v>31</v>
      </c>
      <c r="C41" s="29"/>
      <c r="D41" s="45"/>
      <c r="E41" s="95"/>
      <c r="F41" s="96"/>
      <c r="G41" s="96"/>
      <c r="H41" s="96"/>
      <c r="I41" s="97"/>
      <c r="J41" s="98">
        <f t="shared" si="8"/>
        <v>0</v>
      </c>
      <c r="K41" s="98"/>
      <c r="L41" s="98"/>
      <c r="M41" s="98"/>
      <c r="N41" s="98"/>
      <c r="O41" s="99"/>
      <c r="P41" s="100"/>
      <c r="Q41" s="101"/>
      <c r="R41" s="102"/>
      <c r="S41" s="103"/>
      <c r="T41" s="103"/>
      <c r="U41" s="103"/>
      <c r="V41" s="103"/>
      <c r="W41" s="103"/>
      <c r="X41" s="103"/>
      <c r="Y41" s="103"/>
      <c r="Z41" s="103"/>
      <c r="AA41" s="103"/>
      <c r="AB41" s="103"/>
      <c r="AC41" s="103"/>
      <c r="AD41" s="104"/>
      <c r="AE41" s="105"/>
      <c r="AF41" s="106"/>
      <c r="AG41" s="106"/>
      <c r="AH41" s="106"/>
      <c r="AI41" s="107"/>
      <c r="AK41" s="89">
        <f t="shared" si="9"/>
        <v>31</v>
      </c>
      <c r="AL41" s="87">
        <f t="shared" si="10"/>
        <v>0</v>
      </c>
      <c r="AM41" s="87">
        <f t="shared" si="11"/>
        <v>0</v>
      </c>
      <c r="AN41" s="88">
        <f t="shared" si="12"/>
        <v>0</v>
      </c>
      <c r="AO41" s="88">
        <f t="shared" si="0"/>
        <v>0</v>
      </c>
      <c r="AP41" s="88">
        <f t="shared" si="1"/>
        <v>0</v>
      </c>
      <c r="AQ41" s="88">
        <f t="shared" si="2"/>
        <v>0</v>
      </c>
      <c r="AR41" s="88">
        <f t="shared" si="3"/>
        <v>0</v>
      </c>
      <c r="AS41" s="88">
        <f t="shared" si="4"/>
        <v>0</v>
      </c>
      <c r="AT41" s="90">
        <f t="shared" si="5"/>
        <v>0</v>
      </c>
      <c r="AU41" s="88">
        <f t="shared" si="6"/>
        <v>0</v>
      </c>
      <c r="AV41" s="89" t="str">
        <f t="shared" si="7"/>
        <v>январь</v>
      </c>
    </row>
    <row r="42" spans="1:48" ht="53.25" customHeight="1" x14ac:dyDescent="0.25">
      <c r="B42" s="117" t="s">
        <v>5</v>
      </c>
      <c r="C42" s="118"/>
      <c r="D42" s="118"/>
      <c r="E42" s="118"/>
      <c r="F42" s="118"/>
      <c r="G42" s="118"/>
      <c r="H42" s="118"/>
      <c r="I42" s="118"/>
      <c r="J42" s="118"/>
      <c r="K42" s="118"/>
      <c r="L42" s="118"/>
      <c r="M42" s="118"/>
      <c r="N42" s="118"/>
      <c r="O42" s="118"/>
      <c r="P42" s="118"/>
      <c r="Q42" s="118"/>
      <c r="R42" s="118"/>
      <c r="S42" s="118"/>
      <c r="T42" s="118"/>
      <c r="U42" s="118"/>
      <c r="V42" s="118"/>
      <c r="W42" s="118"/>
      <c r="X42" s="118"/>
      <c r="Y42" s="118"/>
      <c r="Z42" s="118"/>
      <c r="AA42" s="118"/>
      <c r="AB42" s="118"/>
      <c r="AC42" s="118"/>
      <c r="AD42" s="118"/>
      <c r="AE42" s="118"/>
      <c r="AF42" s="118"/>
      <c r="AG42" s="118"/>
      <c r="AH42" s="118"/>
      <c r="AI42" s="119"/>
    </row>
    <row r="43" spans="1:48" ht="27.2" customHeight="1" x14ac:dyDescent="0.25">
      <c r="B43" s="117" t="s">
        <v>6</v>
      </c>
      <c r="C43" s="118"/>
      <c r="D43" s="118"/>
      <c r="E43" s="118"/>
      <c r="F43" s="118"/>
      <c r="G43" s="118"/>
      <c r="H43" s="118"/>
      <c r="I43" s="118"/>
      <c r="J43" s="118"/>
      <c r="K43" s="118"/>
      <c r="L43" s="118"/>
      <c r="M43" s="118"/>
      <c r="N43" s="119"/>
      <c r="O43" s="120">
        <f>SUM(O11:Q41)</f>
        <v>0</v>
      </c>
      <c r="P43" s="121"/>
      <c r="Q43" s="122"/>
      <c r="R43" s="117" t="s">
        <v>81</v>
      </c>
      <c r="S43" s="118"/>
      <c r="T43" s="118"/>
      <c r="U43" s="118"/>
      <c r="V43" s="118"/>
      <c r="W43" s="118"/>
      <c r="X43" s="118"/>
      <c r="Y43" s="118"/>
      <c r="Z43" s="118"/>
      <c r="AA43" s="118"/>
      <c r="AB43" s="118"/>
      <c r="AC43" s="118"/>
      <c r="AD43" s="119"/>
      <c r="AE43" s="124">
        <f>COUNTA(B11:B41)</f>
        <v>31</v>
      </c>
      <c r="AF43" s="125"/>
      <c r="AG43" s="125"/>
      <c r="AH43" s="125"/>
      <c r="AI43" s="126"/>
    </row>
    <row r="44" spans="1:48" ht="27.2" customHeight="1" x14ac:dyDescent="0.25">
      <c r="C44" s="123"/>
      <c r="D44" s="123"/>
      <c r="E44" s="123"/>
      <c r="F44" s="123"/>
      <c r="G44" s="123"/>
      <c r="H44" s="123"/>
      <c r="I44" s="123"/>
      <c r="J44" s="123"/>
      <c r="K44" s="123"/>
      <c r="L44" s="123"/>
      <c r="M44" s="123"/>
      <c r="N44" s="123"/>
      <c r="O44" s="123"/>
    </row>
    <row r="45" spans="1:48" ht="15" customHeight="1" x14ac:dyDescent="0.25">
      <c r="C45" s="114" t="s">
        <v>9</v>
      </c>
      <c r="D45" s="114"/>
      <c r="E45" s="114"/>
      <c r="F45" s="114"/>
      <c r="G45" s="114"/>
      <c r="H45" s="114"/>
      <c r="I45" s="114"/>
      <c r="J45" s="114"/>
      <c r="K45" s="114"/>
      <c r="L45" s="114"/>
      <c r="M45" s="114"/>
      <c r="N45" s="114"/>
      <c r="O45" s="114"/>
      <c r="T45" s="114" t="s">
        <v>10</v>
      </c>
      <c r="U45" s="114"/>
      <c r="V45" s="114"/>
      <c r="W45" s="114"/>
      <c r="X45" s="114"/>
      <c r="Y45" s="114"/>
      <c r="Z45" s="114"/>
      <c r="AA45" s="114"/>
      <c r="AB45" s="114"/>
      <c r="AC45" s="114"/>
      <c r="AD45" s="114"/>
    </row>
    <row r="46" spans="1:48" ht="20.25" customHeight="1" x14ac:dyDescent="0.25"/>
    <row r="47" spans="1:48" x14ac:dyDescent="0.25">
      <c r="C47" s="3"/>
      <c r="D47" s="46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 spans="1:48" x14ac:dyDescent="0.25">
      <c r="C48" s="114" t="s">
        <v>11</v>
      </c>
      <c r="D48" s="114"/>
      <c r="E48" s="114"/>
      <c r="F48" s="114"/>
      <c r="G48" s="114"/>
      <c r="H48" s="114"/>
      <c r="I48" s="114"/>
      <c r="J48" s="114"/>
      <c r="K48" s="114"/>
      <c r="L48" s="114"/>
      <c r="M48" s="114"/>
      <c r="N48" s="114"/>
      <c r="O48" s="114"/>
      <c r="T48" s="115" t="s">
        <v>12</v>
      </c>
      <c r="U48" s="115"/>
      <c r="V48" s="115"/>
      <c r="W48" s="115"/>
      <c r="X48" s="115"/>
      <c r="Y48" s="115"/>
      <c r="Z48" s="115"/>
      <c r="AA48" s="115"/>
      <c r="AB48" s="115"/>
      <c r="AC48" s="115"/>
      <c r="AD48" s="115"/>
    </row>
    <row r="49" spans="20:30" x14ac:dyDescent="0.25">
      <c r="T49" s="116"/>
      <c r="U49" s="116"/>
      <c r="V49" s="116"/>
      <c r="W49" s="116"/>
      <c r="X49" s="116"/>
      <c r="Y49" s="116"/>
      <c r="Z49" s="116"/>
      <c r="AA49" s="116"/>
      <c r="AB49" s="116"/>
      <c r="AC49" s="116"/>
      <c r="AD49" s="116"/>
    </row>
  </sheetData>
  <sheetProtection formatCells="0" formatRows="0" insertRows="0" insertHyperlinks="0" deleteRows="0" sort="0" autoFilter="0" pivotTables="0"/>
  <autoFilter ref="A10:AI45">
    <filterColumn colId="4" showButton="0"/>
    <filterColumn colId="5" showButton="0"/>
    <filterColumn colId="6" showButton="0"/>
    <filterColumn colId="7" showButton="0"/>
    <filterColumn colId="9" showButton="0"/>
    <filterColumn colId="10" showButton="0"/>
    <filterColumn colId="11" showButton="0"/>
    <filterColumn colId="12" showButton="0"/>
    <filterColumn colId="14" showButton="0"/>
    <filterColumn colId="15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30" showButton="0"/>
    <filterColumn colId="31" showButton="0"/>
    <filterColumn colId="32" showButton="0"/>
    <filterColumn colId="33" showButton="0"/>
  </autoFilter>
  <mergeCells count="195">
    <mergeCell ref="E12:I12"/>
    <mergeCell ref="J12:N12"/>
    <mergeCell ref="AE12:AI12"/>
    <mergeCell ref="R13:AD13"/>
    <mergeCell ref="AE13:AI13"/>
    <mergeCell ref="E13:I13"/>
    <mergeCell ref="E41:I41"/>
    <mergeCell ref="J41:N41"/>
    <mergeCell ref="O41:Q41"/>
    <mergeCell ref="R41:AD41"/>
    <mergeCell ref="AE41:AI41"/>
    <mergeCell ref="E36:I36"/>
    <mergeCell ref="J36:N36"/>
    <mergeCell ref="O36:Q36"/>
    <mergeCell ref="R36:AD36"/>
    <mergeCell ref="AE36:AI36"/>
    <mergeCell ref="R37:AD37"/>
    <mergeCell ref="E37:I37"/>
    <mergeCell ref="J37:N37"/>
    <mergeCell ref="O37:Q37"/>
    <mergeCell ref="AE37:AI37"/>
    <mergeCell ref="E38:I38"/>
    <mergeCell ref="J38:N38"/>
    <mergeCell ref="O38:Q38"/>
    <mergeCell ref="O40:Q40"/>
    <mergeCell ref="E34:I34"/>
    <mergeCell ref="J34:N34"/>
    <mergeCell ref="O34:Q34"/>
    <mergeCell ref="R34:AD34"/>
    <mergeCell ref="AE34:AI34"/>
    <mergeCell ref="E35:I35"/>
    <mergeCell ref="J35:N35"/>
    <mergeCell ref="O35:Q35"/>
    <mergeCell ref="R35:AD35"/>
    <mergeCell ref="AE35:AI35"/>
    <mergeCell ref="R38:AD38"/>
    <mergeCell ref="R39:AD39"/>
    <mergeCell ref="R40:AD40"/>
    <mergeCell ref="AE38:AI38"/>
    <mergeCell ref="AE39:AI39"/>
    <mergeCell ref="AE40:AI40"/>
    <mergeCell ref="E39:I39"/>
    <mergeCell ref="J39:N39"/>
    <mergeCell ref="O39:Q39"/>
    <mergeCell ref="E40:I40"/>
    <mergeCell ref="J40:N40"/>
    <mergeCell ref="U2:V2"/>
    <mergeCell ref="Z2:AB2"/>
    <mergeCell ref="V5:AB5"/>
    <mergeCell ref="M3:P3"/>
    <mergeCell ref="P2:T2"/>
    <mergeCell ref="W2:X2"/>
    <mergeCell ref="E5:U5"/>
    <mergeCell ref="AC5:AI5"/>
    <mergeCell ref="D2:O2"/>
    <mergeCell ref="B4:AI4"/>
    <mergeCell ref="B5:D5"/>
    <mergeCell ref="E10:I10"/>
    <mergeCell ref="J10:N10"/>
    <mergeCell ref="O10:Q10"/>
    <mergeCell ref="R10:AD10"/>
    <mergeCell ref="E11:I11"/>
    <mergeCell ref="J11:N11"/>
    <mergeCell ref="R11:AD11"/>
    <mergeCell ref="O11:Q11"/>
    <mergeCell ref="K3:L3"/>
    <mergeCell ref="AC6:AI6"/>
    <mergeCell ref="V6:AB6"/>
    <mergeCell ref="J13:N13"/>
    <mergeCell ref="AE16:AI16"/>
    <mergeCell ref="R19:AD19"/>
    <mergeCell ref="J20:N20"/>
    <mergeCell ref="O20:Q20"/>
    <mergeCell ref="O17:Q17"/>
    <mergeCell ref="AE14:AI14"/>
    <mergeCell ref="O13:Q13"/>
    <mergeCell ref="O14:Q14"/>
    <mergeCell ref="J14:N14"/>
    <mergeCell ref="R14:AD14"/>
    <mergeCell ref="AE8:AI8"/>
    <mergeCell ref="AE11:AI11"/>
    <mergeCell ref="O12:Q12"/>
    <mergeCell ref="R12:AD12"/>
    <mergeCell ref="N8:P8"/>
    <mergeCell ref="B8:M8"/>
    <mergeCell ref="E6:U6"/>
    <mergeCell ref="Q8:AD8"/>
    <mergeCell ref="B7:I7"/>
    <mergeCell ref="E14:I14"/>
    <mergeCell ref="E18:I18"/>
    <mergeCell ref="AE20:AI20"/>
    <mergeCell ref="AE7:AI7"/>
    <mergeCell ref="J7:Q7"/>
    <mergeCell ref="E15:I15"/>
    <mergeCell ref="R15:AD15"/>
    <mergeCell ref="J15:N15"/>
    <mergeCell ref="O15:Q15"/>
    <mergeCell ref="E16:I16"/>
    <mergeCell ref="O19:Q19"/>
    <mergeCell ref="J19:N19"/>
    <mergeCell ref="E19:I19"/>
    <mergeCell ref="AE19:AI19"/>
    <mergeCell ref="O18:Q18"/>
    <mergeCell ref="R18:AD18"/>
    <mergeCell ref="AE18:AI18"/>
    <mergeCell ref="E17:I17"/>
    <mergeCell ref="J17:N17"/>
    <mergeCell ref="J16:N16"/>
    <mergeCell ref="O16:Q16"/>
    <mergeCell ref="R16:AD16"/>
    <mergeCell ref="R17:AD17"/>
    <mergeCell ref="AE17:AI17"/>
    <mergeCell ref="B9:AI9"/>
    <mergeCell ref="AE10:AI10"/>
    <mergeCell ref="R7:AD7"/>
    <mergeCell ref="C48:O48"/>
    <mergeCell ref="T48:AD49"/>
    <mergeCell ref="B42:AI42"/>
    <mergeCell ref="B43:N43"/>
    <mergeCell ref="O43:Q43"/>
    <mergeCell ref="R43:AD43"/>
    <mergeCell ref="T45:AD45"/>
    <mergeCell ref="C45:O45"/>
    <mergeCell ref="C44:O44"/>
    <mergeCell ref="AE43:AI43"/>
    <mergeCell ref="R20:AD20"/>
    <mergeCell ref="R33:AD33"/>
    <mergeCell ref="E30:I30"/>
    <mergeCell ref="J30:N30"/>
    <mergeCell ref="O30:Q30"/>
    <mergeCell ref="R30:AD30"/>
    <mergeCell ref="AE30:AI30"/>
    <mergeCell ref="E31:I31"/>
    <mergeCell ref="J31:N31"/>
    <mergeCell ref="O31:Q31"/>
    <mergeCell ref="R31:AD31"/>
    <mergeCell ref="AE31:AI31"/>
    <mergeCell ref="AE33:AI33"/>
    <mergeCell ref="E32:I32"/>
    <mergeCell ref="J32:N32"/>
    <mergeCell ref="O32:Q32"/>
    <mergeCell ref="R32:AD32"/>
    <mergeCell ref="AE32:AI32"/>
    <mergeCell ref="E33:I33"/>
    <mergeCell ref="J33:N33"/>
    <mergeCell ref="O33:Q33"/>
    <mergeCell ref="E20:I20"/>
    <mergeCell ref="AE23:AI23"/>
    <mergeCell ref="B6:D6"/>
    <mergeCell ref="E29:I29"/>
    <mergeCell ref="J29:N29"/>
    <mergeCell ref="E22:I22"/>
    <mergeCell ref="J22:N22"/>
    <mergeCell ref="O22:Q22"/>
    <mergeCell ref="R22:AD22"/>
    <mergeCell ref="AE22:AI22"/>
    <mergeCell ref="E25:I25"/>
    <mergeCell ref="J25:N25"/>
    <mergeCell ref="O25:Q25"/>
    <mergeCell ref="R25:AD25"/>
    <mergeCell ref="AE25:AI25"/>
    <mergeCell ref="E24:I24"/>
    <mergeCell ref="AE15:AI15"/>
    <mergeCell ref="E28:I28"/>
    <mergeCell ref="J28:N28"/>
    <mergeCell ref="O28:Q28"/>
    <mergeCell ref="R28:AD28"/>
    <mergeCell ref="AE28:AI28"/>
    <mergeCell ref="E27:I27"/>
    <mergeCell ref="J27:N27"/>
    <mergeCell ref="J18:N18"/>
    <mergeCell ref="E21:I21"/>
    <mergeCell ref="J21:N21"/>
    <mergeCell ref="O21:Q21"/>
    <mergeCell ref="R21:AD21"/>
    <mergeCell ref="AE21:AI21"/>
    <mergeCell ref="O29:Q29"/>
    <mergeCell ref="R29:AD29"/>
    <mergeCell ref="AE29:AI29"/>
    <mergeCell ref="E23:I23"/>
    <mergeCell ref="E26:I26"/>
    <mergeCell ref="O27:Q27"/>
    <mergeCell ref="R27:AD27"/>
    <mergeCell ref="AE27:AI27"/>
    <mergeCell ref="J24:N24"/>
    <mergeCell ref="O24:Q24"/>
    <mergeCell ref="R24:AD24"/>
    <mergeCell ref="AE24:AI24"/>
    <mergeCell ref="J23:N23"/>
    <mergeCell ref="J26:N26"/>
    <mergeCell ref="O26:Q26"/>
    <mergeCell ref="R26:AD26"/>
    <mergeCell ref="AE26:AI26"/>
    <mergeCell ref="O23:Q23"/>
    <mergeCell ref="R23:AD23"/>
  </mergeCells>
  <conditionalFormatting sqref="E11:I41">
    <cfRule type="cellIs" dxfId="6" priority="230" operator="lessThan">
      <formula>$N$8</formula>
    </cfRule>
  </conditionalFormatting>
  <conditionalFormatting sqref="E11:N41">
    <cfRule type="cellIs" dxfId="5" priority="229" operator="lessThan">
      <formula>$E$11</formula>
    </cfRule>
  </conditionalFormatting>
  <conditionalFormatting sqref="P11:Q16 O11:O22 O24:O41">
    <cfRule type="cellIs" dxfId="4" priority="172" operator="lessThan">
      <formula>0</formula>
    </cfRule>
  </conditionalFormatting>
  <conditionalFormatting sqref="O23">
    <cfRule type="cellIs" dxfId="3" priority="8" operator="lessThan">
      <formula>0</formula>
    </cfRule>
  </conditionalFormatting>
  <conditionalFormatting sqref="C11:C41">
    <cfRule type="cellIs" dxfId="2" priority="325" operator="greaterThan">
      <formula>EOMONTH(DATE($Q$3,MONTH($M$3&amp;0),1),0)</formula>
    </cfRule>
    <cfRule type="cellIs" dxfId="1" priority="326" operator="lessThan">
      <formula>DATE($Q$3,MONTH($M$3&amp;0),1)</formula>
    </cfRule>
  </conditionalFormatting>
  <dataValidations count="2">
    <dataValidation type="list" allowBlank="1" showInputMessage="1" showErrorMessage="1" sqref="M3:P3">
      <formula1>"январь,февраль,март,апрель,май,июнь,июль,август,сентябрь,октябрь,ноябрь,декабрь"</formula1>
    </dataValidation>
    <dataValidation type="list" allowBlank="1" showInputMessage="1" showErrorMessage="1" sqref="D11:D41">
      <formula1>Проект</formula1>
    </dataValidation>
  </dataValidations>
  <pageMargins left="0.23622047244094491" right="0.23622047244094491" top="0.39370078740157483" bottom="0.78740157480314965" header="0.31496062992125984" footer="0.31496062992125984"/>
  <pageSetup paperSize="9" scale="74" fitToHeight="0" orientation="portrait" r:id="rId1"/>
  <headerFooter>
    <oddFooter>&amp;L&amp;8Шаблон П-С-15 v.2.2.2 МГ</oddFooter>
    <evenHeader>&amp;RОборотная сторона Путевого листа</evenHeader>
  </headerFooter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29" id="{8EE50397-F912-412D-80F3-4F65292F8FBA}">
            <x14:iconSet custom="1">
              <x14:cfvo type="percent">
                <xm:f>0</xm:f>
              </x14:cfvo>
              <x14:cfvo type="formula">
                <xm:f>MAX($J$11:$J$41)</xm:f>
              </x14:cfvo>
              <x14:cfvo type="formula">
                <xm:f>MAX($J$11:$J$41)</xm:f>
              </x14:cfvo>
              <x14:cfIcon iconSet="3Symbols" iconId="0"/>
              <x14:cfIcon iconSet="NoIcons" iconId="0"/>
              <x14:cfIcon iconSet="NoIcons" iconId="0"/>
            </x14:iconSet>
          </x14:cfRule>
          <xm:sqref>AE8</xm:sqref>
        </x14:conditionalFormatting>
        <x14:conditionalFormatting xmlns:xm="http://schemas.microsoft.com/office/excel/2006/main">
          <x14:cfRule type="iconSet" priority="330" id="{C21D3B5B-DDCF-4D0F-AB73-3E0ECD776112}">
            <x14:iconSet custom="1">
              <x14:cfvo type="percent">
                <xm:f>0</xm:f>
              </x14:cfvo>
              <x14:cfvo type="formula" gte="0">
                <xm:f>MIN($E$11:$E$41)</xm:f>
              </x14:cfvo>
              <x14:cfvo type="formula" gte="0">
                <xm:f>MIN($E$11:$E$41)</xm:f>
              </x14:cfvo>
              <x14:cfIcon iconSet="NoIcons" iconId="0"/>
              <x14:cfIcon iconSet="3Symbols" iconId="0"/>
              <x14:cfIcon iconSet="3Symbols" iconId="0"/>
            </x14:iconSet>
          </x14:cfRule>
          <xm:sqref>N8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  <pageSetUpPr fitToPage="1"/>
  </sheetPr>
  <dimension ref="A1:AT60"/>
  <sheetViews>
    <sheetView view="pageBreakPreview" zoomScaleNormal="100" zoomScaleSheetLayoutView="100" workbookViewId="0">
      <selection activeCell="AM38" sqref="AM38"/>
    </sheetView>
  </sheetViews>
  <sheetFormatPr defaultColWidth="9" defaultRowHeight="15" x14ac:dyDescent="0.25"/>
  <cols>
    <col min="1" max="1" width="2.7109375" style="6" customWidth="1"/>
    <col min="2" max="2" width="2.28515625" style="6" customWidth="1"/>
    <col min="3" max="3" width="3.85546875" style="6" customWidth="1"/>
    <col min="4" max="5" width="2.7109375" style="6" customWidth="1"/>
    <col min="6" max="6" width="3.85546875" style="6" customWidth="1"/>
    <col min="7" max="13" width="2.7109375" style="6" customWidth="1"/>
    <col min="14" max="14" width="9.5703125" style="6" customWidth="1"/>
    <col min="15" max="15" width="10.85546875" style="6" customWidth="1"/>
    <col min="16" max="18" width="2.7109375" style="6" customWidth="1"/>
    <col min="19" max="19" width="2.28515625" style="6" customWidth="1"/>
    <col min="20" max="20" width="2" style="6" customWidth="1"/>
    <col min="21" max="34" width="2.7109375" style="6" customWidth="1"/>
    <col min="35" max="38" width="2.85546875" style="6" customWidth="1"/>
    <col min="39" max="39" width="9" style="6"/>
    <col min="40" max="40" width="25.140625" style="6" customWidth="1"/>
    <col min="41" max="41" width="10.7109375" style="6" customWidth="1"/>
    <col min="42" max="16384" width="9" style="6"/>
  </cols>
  <sheetData>
    <row r="1" spans="1:46" x14ac:dyDescent="0.25">
      <c r="U1" s="6" t="s">
        <v>19</v>
      </c>
    </row>
    <row r="2" spans="1:46" x14ac:dyDescent="0.25">
      <c r="U2" s="6" t="s">
        <v>20</v>
      </c>
    </row>
    <row r="3" spans="1:46" x14ac:dyDescent="0.25">
      <c r="U3" s="6" t="s">
        <v>175</v>
      </c>
    </row>
    <row r="4" spans="1:46" x14ac:dyDescent="0.25">
      <c r="U4" s="6" t="s">
        <v>21</v>
      </c>
      <c r="V4" s="35"/>
      <c r="W4" s="35"/>
      <c r="X4" s="35"/>
      <c r="Y4" s="35"/>
      <c r="Z4" s="35"/>
      <c r="AA4" s="35"/>
      <c r="AB4" s="35"/>
      <c r="AC4" s="35"/>
      <c r="AD4" s="35"/>
      <c r="AE4" s="35"/>
      <c r="AG4" s="35"/>
      <c r="AH4" s="35"/>
      <c r="AI4" s="35"/>
      <c r="AJ4" s="7"/>
    </row>
    <row r="5" spans="1:46" ht="46.5" customHeight="1" x14ac:dyDescent="0.25">
      <c r="U5" s="166">
        <f>'ПЛ-ТК'!E5</f>
        <v>0</v>
      </c>
      <c r="V5" s="166"/>
      <c r="W5" s="166"/>
      <c r="X5" s="166"/>
      <c r="Y5" s="166"/>
      <c r="Z5" s="166"/>
      <c r="AA5" s="166"/>
      <c r="AB5" s="166"/>
      <c r="AC5" s="166"/>
      <c r="AD5" s="166"/>
      <c r="AE5" s="166"/>
      <c r="AF5" s="166"/>
      <c r="AG5" s="35"/>
      <c r="AH5" s="35"/>
      <c r="AI5" s="35"/>
      <c r="AJ5" s="7"/>
      <c r="AK5" s="7"/>
    </row>
    <row r="7" spans="1:46" ht="18.75" x14ac:dyDescent="0.3">
      <c r="A7" s="177" t="s">
        <v>16</v>
      </c>
      <c r="B7" s="177"/>
      <c r="C7" s="177"/>
      <c r="D7" s="177"/>
      <c r="E7" s="177"/>
      <c r="F7" s="177"/>
      <c r="G7" s="177"/>
      <c r="H7" s="177"/>
      <c r="I7" s="177"/>
      <c r="J7" s="177"/>
      <c r="K7" s="177"/>
      <c r="L7" s="177"/>
      <c r="M7" s="177"/>
      <c r="N7" s="177"/>
      <c r="O7" s="177"/>
      <c r="P7" s="177"/>
      <c r="Q7" s="177"/>
      <c r="R7" s="177"/>
      <c r="S7" s="177"/>
      <c r="T7" s="177"/>
      <c r="U7" s="177"/>
      <c r="V7" s="177"/>
      <c r="W7" s="177"/>
      <c r="X7" s="177"/>
      <c r="Y7" s="177"/>
      <c r="Z7" s="177"/>
      <c r="AA7" s="177"/>
      <c r="AB7" s="177"/>
      <c r="AC7" s="177"/>
      <c r="AD7" s="177"/>
      <c r="AE7" s="177"/>
      <c r="AF7" s="177"/>
      <c r="AG7" s="177"/>
      <c r="AH7" s="177"/>
      <c r="AI7" s="177"/>
      <c r="AJ7" s="177"/>
      <c r="AK7" s="8"/>
      <c r="AL7" s="8"/>
    </row>
    <row r="9" spans="1:46" x14ac:dyDescent="0.25">
      <c r="C9" s="180" t="s">
        <v>44</v>
      </c>
      <c r="D9" s="180"/>
      <c r="E9" s="180"/>
      <c r="F9" s="180"/>
      <c r="G9" s="180"/>
      <c r="H9" s="180"/>
      <c r="I9" s="180"/>
      <c r="J9" s="180"/>
      <c r="K9" s="180"/>
      <c r="L9" s="180"/>
      <c r="M9" s="180"/>
      <c r="N9" s="180"/>
      <c r="O9" s="180"/>
      <c r="P9" s="180"/>
      <c r="Q9" s="180"/>
      <c r="R9" s="180"/>
      <c r="S9" s="180"/>
      <c r="T9" s="180"/>
      <c r="U9" s="180"/>
      <c r="V9" s="180"/>
      <c r="W9" s="180"/>
      <c r="X9" s="180"/>
      <c r="Y9" s="180"/>
      <c r="Z9" s="180"/>
      <c r="AA9" s="180"/>
      <c r="AB9" s="180"/>
      <c r="AC9" s="180"/>
      <c r="AD9" s="180"/>
      <c r="AE9" s="180"/>
      <c r="AF9" s="180"/>
      <c r="AG9" s="180"/>
      <c r="AH9" s="180"/>
      <c r="AI9" s="180"/>
    </row>
    <row r="10" spans="1:46" x14ac:dyDescent="0.25">
      <c r="C10" s="180" t="s">
        <v>43</v>
      </c>
      <c r="D10" s="180"/>
      <c r="E10" s="180"/>
      <c r="F10" s="180"/>
      <c r="G10" s="180"/>
      <c r="H10" s="180"/>
      <c r="I10" s="180"/>
      <c r="J10" s="180"/>
      <c r="K10" s="180"/>
      <c r="L10" s="180"/>
      <c r="M10" s="180"/>
      <c r="N10" s="180"/>
      <c r="O10" s="40"/>
      <c r="P10" s="181">
        <f>'ПЛ-ТК'!$AC$6</f>
        <v>0</v>
      </c>
      <c r="Q10" s="181"/>
      <c r="R10" s="181"/>
      <c r="S10" s="181"/>
      <c r="T10" s="181"/>
      <c r="U10" s="181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</row>
    <row r="11" spans="1:46" x14ac:dyDescent="0.25">
      <c r="C11" s="6" t="s">
        <v>41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</row>
    <row r="12" spans="1:46" x14ac:dyDescent="0.25"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N12" s="19"/>
      <c r="AO12" s="19"/>
      <c r="AP12" s="19"/>
      <c r="AQ12" s="19"/>
      <c r="AR12" s="19"/>
    </row>
    <row r="13" spans="1:46" x14ac:dyDescent="0.25">
      <c r="C13" s="10" t="str">
        <f>"Согласно Листу учета движения № "&amp;'ПЛ-ТК'!P2&amp;'ПЛ-ТК'!U2&amp;TEXT('ПЛ-ТК'!W2,"00")&amp;'ПЛ-ТК'!Y2&amp;'ПЛ-ТК'!Z2&amp;'ПЛ-ТК'!AC2&amp;" за "&amp;'ПЛ-ТК'!M3&amp;" "&amp;'ПЛ-ТК'!Q3 &amp; " г."</f>
        <v>Согласно Листу учета движения № 0_01_2026 за январь 2026 г.</v>
      </c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N13" s="19"/>
      <c r="AO13" s="19"/>
      <c r="AP13" s="19"/>
      <c r="AQ13" s="19"/>
      <c r="AR13" s="19"/>
    </row>
    <row r="14" spans="1:46" ht="28.5" customHeight="1" x14ac:dyDescent="0.25">
      <c r="C14" s="6" t="s">
        <v>63</v>
      </c>
      <c r="O14" s="16"/>
      <c r="P14" s="36">
        <f>'ПЛ-ТК'!AE43</f>
        <v>31</v>
      </c>
      <c r="Q14" s="37" t="s">
        <v>22</v>
      </c>
      <c r="R14" s="16"/>
      <c r="S14" s="38"/>
      <c r="T14" s="10"/>
      <c r="AN14" s="19"/>
      <c r="AO14" s="41"/>
      <c r="AP14" s="41"/>
      <c r="AQ14" s="41"/>
      <c r="AR14" s="41"/>
      <c r="AS14" s="41"/>
      <c r="AT14" s="41"/>
    </row>
    <row r="15" spans="1:46" x14ac:dyDescent="0.25">
      <c r="C15" s="6" t="s">
        <v>17</v>
      </c>
      <c r="AN15" s="19"/>
      <c r="AO15" s="41"/>
      <c r="AP15" s="41"/>
      <c r="AQ15" s="41"/>
      <c r="AR15" s="41"/>
      <c r="AS15" s="41"/>
      <c r="AT15" s="41"/>
    </row>
    <row r="16" spans="1:46" x14ac:dyDescent="0.25">
      <c r="C16" s="6" t="s">
        <v>62</v>
      </c>
      <c r="G16" s="186">
        <f>'ПЛ-ТК'!O43</f>
        <v>0</v>
      </c>
      <c r="H16" s="186"/>
      <c r="I16" s="186"/>
      <c r="J16" s="37" t="s">
        <v>23</v>
      </c>
      <c r="K16" s="39"/>
      <c r="AN16" s="19"/>
      <c r="AO16" s="41"/>
      <c r="AP16" s="41"/>
      <c r="AQ16" s="41"/>
      <c r="AR16" s="41"/>
      <c r="AS16" s="41"/>
      <c r="AT16" s="41"/>
    </row>
    <row r="17" spans="1:46" ht="27.2" customHeight="1" x14ac:dyDescent="0.25">
      <c r="C17" s="6" t="str">
        <f>"Детализация расчета суммы компенсации по Листу учета движения № "&amp;'ПЛ-ТК'!P2&amp;'ПЛ-ТК'!U2&amp;TEXT('ПЛ-ТК'!W2,"00")&amp;'ПЛ-ТК'!Y2&amp;'ПЛ-ТК'!Z2&amp;'ПЛ-ТК'!AC2&amp;":"</f>
        <v>Детализация расчета суммы компенсации по Листу учета движения № 0_01_2026:</v>
      </c>
      <c r="AN17" s="19"/>
      <c r="AO17" s="41"/>
      <c r="AP17" s="41"/>
      <c r="AQ17" s="41"/>
      <c r="AR17" s="41"/>
      <c r="AS17" s="41"/>
      <c r="AT17" s="41"/>
    </row>
    <row r="18" spans="1:46" x14ac:dyDescent="0.25">
      <c r="AN18" s="19"/>
      <c r="AO18" s="41"/>
      <c r="AP18" s="41"/>
      <c r="AQ18" s="41"/>
      <c r="AR18" s="41"/>
      <c r="AS18" s="41"/>
      <c r="AT18" s="41"/>
    </row>
    <row r="19" spans="1:46" x14ac:dyDescent="0.25">
      <c r="A19" s="15"/>
      <c r="B19" s="15"/>
      <c r="C19" s="187" t="s">
        <v>0</v>
      </c>
      <c r="D19" s="161" t="s">
        <v>61</v>
      </c>
      <c r="E19" s="161"/>
      <c r="F19" s="161"/>
      <c r="G19" s="161"/>
      <c r="H19" s="161"/>
      <c r="I19" s="161"/>
      <c r="J19" s="161"/>
      <c r="K19" s="161"/>
      <c r="L19" s="161"/>
      <c r="M19" s="161"/>
      <c r="N19" s="161"/>
      <c r="O19" s="161"/>
      <c r="P19" s="161" t="s">
        <v>73</v>
      </c>
      <c r="Q19" s="161"/>
      <c r="R19" s="161"/>
      <c r="S19" s="161"/>
      <c r="T19" s="161"/>
      <c r="U19" s="161"/>
      <c r="V19" s="161"/>
      <c r="W19" s="161"/>
      <c r="X19" s="161"/>
      <c r="Y19" s="161"/>
      <c r="Z19" s="161"/>
      <c r="AA19" s="161"/>
      <c r="AB19" s="161"/>
      <c r="AC19" s="167"/>
      <c r="AD19" s="15"/>
      <c r="AN19" s="19"/>
      <c r="AO19" s="41"/>
      <c r="AP19" s="41"/>
      <c r="AQ19" s="41"/>
      <c r="AR19" s="41"/>
      <c r="AS19" s="41"/>
      <c r="AT19" s="41"/>
    </row>
    <row r="20" spans="1:46" x14ac:dyDescent="0.25">
      <c r="A20" s="15"/>
      <c r="B20" s="15"/>
      <c r="C20" s="187"/>
      <c r="D20" s="161"/>
      <c r="E20" s="161"/>
      <c r="F20" s="161"/>
      <c r="G20" s="161"/>
      <c r="H20" s="161"/>
      <c r="I20" s="161"/>
      <c r="J20" s="161"/>
      <c r="K20" s="161"/>
      <c r="L20" s="161"/>
      <c r="M20" s="161"/>
      <c r="N20" s="161"/>
      <c r="O20" s="161"/>
      <c r="P20" s="161" t="s">
        <v>71</v>
      </c>
      <c r="Q20" s="161"/>
      <c r="R20" s="161"/>
      <c r="S20" s="161"/>
      <c r="T20" s="161" t="s">
        <v>70</v>
      </c>
      <c r="U20" s="161"/>
      <c r="V20" s="161"/>
      <c r="W20" s="188" t="s">
        <v>72</v>
      </c>
      <c r="X20" s="188"/>
      <c r="Y20" s="188"/>
      <c r="Z20" s="188"/>
      <c r="AA20" s="188"/>
      <c r="AB20" s="188"/>
      <c r="AC20" s="189"/>
      <c r="AD20" s="15"/>
      <c r="AN20" s="19"/>
      <c r="AO20" s="41"/>
      <c r="AP20" s="41"/>
      <c r="AQ20" s="41"/>
      <c r="AR20" s="41"/>
      <c r="AS20" s="41"/>
      <c r="AT20" s="41"/>
    </row>
    <row r="21" spans="1:46" x14ac:dyDescent="0.25">
      <c r="A21" s="15"/>
      <c r="B21" s="15"/>
      <c r="C21" s="52">
        <v>1</v>
      </c>
      <c r="D21" s="162" t="str">
        <f>'Список проектов'!B2</f>
        <v>СЕ-2025-000039103</v>
      </c>
      <c r="E21" s="162"/>
      <c r="F21" s="162"/>
      <c r="G21" s="162"/>
      <c r="H21" s="162"/>
      <c r="I21" s="162"/>
      <c r="J21" s="162"/>
      <c r="K21" s="162"/>
      <c r="L21" s="162"/>
      <c r="M21" s="162"/>
      <c r="N21" s="162"/>
      <c r="O21" s="162"/>
      <c r="P21" s="168">
        <v>5</v>
      </c>
      <c r="Q21" s="169"/>
      <c r="R21" s="169"/>
      <c r="S21" s="170"/>
      <c r="T21" s="161">
        <f>SUMIF('ПЛ-ТК'!$D$11:$D$41,'СЗ-ТК'!D21,'ПЛ-ТК'!$O$11:$Q$41)</f>
        <v>0</v>
      </c>
      <c r="U21" s="161"/>
      <c r="V21" s="161"/>
      <c r="W21" s="159">
        <f t="shared" ref="W21:W34" si="0">T21*$P$21</f>
        <v>0</v>
      </c>
      <c r="X21" s="159"/>
      <c r="Y21" s="159"/>
      <c r="Z21" s="159"/>
      <c r="AA21" s="159"/>
      <c r="AB21" s="159"/>
      <c r="AC21" s="160"/>
      <c r="AD21" s="15"/>
      <c r="AN21" s="53" t="s">
        <v>195</v>
      </c>
      <c r="AO21" s="53" t="s">
        <v>191</v>
      </c>
      <c r="AP21" s="41"/>
      <c r="AQ21" s="41"/>
      <c r="AR21" s="41"/>
      <c r="AS21" s="41"/>
      <c r="AT21" s="41"/>
    </row>
    <row r="22" spans="1:46" x14ac:dyDescent="0.25">
      <c r="A22" s="15"/>
      <c r="B22" s="15"/>
      <c r="C22" s="52">
        <v>2</v>
      </c>
      <c r="D22" s="162" t="str">
        <f>'Список проектов'!B3</f>
        <v>СЕ-2025-000039109</v>
      </c>
      <c r="E22" s="162"/>
      <c r="F22" s="162"/>
      <c r="G22" s="162"/>
      <c r="H22" s="162"/>
      <c r="I22" s="162"/>
      <c r="J22" s="162"/>
      <c r="K22" s="162"/>
      <c r="L22" s="162"/>
      <c r="M22" s="162"/>
      <c r="N22" s="162"/>
      <c r="O22" s="162"/>
      <c r="P22" s="171"/>
      <c r="Q22" s="172"/>
      <c r="R22" s="172"/>
      <c r="S22" s="173"/>
      <c r="T22" s="161">
        <f>SUMIF('ПЛ-ТК'!$D$11:$D$41,'СЗ-ТК'!D22,'ПЛ-ТК'!$O$11:$Q$41)</f>
        <v>0</v>
      </c>
      <c r="U22" s="161"/>
      <c r="V22" s="161"/>
      <c r="W22" s="159">
        <f t="shared" si="0"/>
        <v>0</v>
      </c>
      <c r="X22" s="159"/>
      <c r="Y22" s="159"/>
      <c r="Z22" s="159"/>
      <c r="AA22" s="159"/>
      <c r="AB22" s="159"/>
      <c r="AC22" s="160"/>
      <c r="AD22" s="15"/>
      <c r="AN22" s="53" t="s">
        <v>196</v>
      </c>
      <c r="AO22" s="53" t="s">
        <v>192</v>
      </c>
      <c r="AP22" s="41"/>
      <c r="AQ22" s="41"/>
      <c r="AR22" s="41"/>
      <c r="AS22" s="41"/>
      <c r="AT22" s="41"/>
    </row>
    <row r="23" spans="1:46" x14ac:dyDescent="0.25">
      <c r="A23" s="15"/>
      <c r="B23" s="15"/>
      <c r="C23" s="52">
        <v>3</v>
      </c>
      <c r="D23" s="162" t="str">
        <f>'Список проектов'!B4</f>
        <v>СЕ-2025-000039111</v>
      </c>
      <c r="E23" s="162"/>
      <c r="F23" s="162"/>
      <c r="G23" s="162"/>
      <c r="H23" s="162"/>
      <c r="I23" s="162"/>
      <c r="J23" s="162"/>
      <c r="K23" s="162"/>
      <c r="L23" s="162"/>
      <c r="M23" s="162"/>
      <c r="N23" s="162"/>
      <c r="O23" s="162"/>
      <c r="P23" s="171"/>
      <c r="Q23" s="172"/>
      <c r="R23" s="172"/>
      <c r="S23" s="173"/>
      <c r="T23" s="161">
        <f>SUMIF('ПЛ-ТК'!$D$11:$D$41,'СЗ-ТК'!D23,'ПЛ-ТК'!$O$11:$Q$41)</f>
        <v>0</v>
      </c>
      <c r="U23" s="161"/>
      <c r="V23" s="161"/>
      <c r="W23" s="159">
        <f t="shared" si="0"/>
        <v>0</v>
      </c>
      <c r="X23" s="159"/>
      <c r="Y23" s="159"/>
      <c r="Z23" s="159"/>
      <c r="AA23" s="159"/>
      <c r="AB23" s="159"/>
      <c r="AC23" s="160"/>
      <c r="AD23" s="15"/>
      <c r="AN23" s="53" t="s">
        <v>197</v>
      </c>
      <c r="AO23" s="53" t="s">
        <v>193</v>
      </c>
      <c r="AP23" s="41"/>
      <c r="AQ23" s="41"/>
      <c r="AR23" s="41"/>
      <c r="AS23" s="41"/>
      <c r="AT23" s="41"/>
    </row>
    <row r="24" spans="1:46" x14ac:dyDescent="0.25">
      <c r="A24" s="15"/>
      <c r="B24" s="15"/>
      <c r="C24" s="52">
        <v>4</v>
      </c>
      <c r="D24" s="162" t="str">
        <f>'Список проектов'!B5</f>
        <v>СЕ-2025-000039112</v>
      </c>
      <c r="E24" s="162"/>
      <c r="F24" s="162"/>
      <c r="G24" s="162"/>
      <c r="H24" s="162"/>
      <c r="I24" s="162"/>
      <c r="J24" s="162"/>
      <c r="K24" s="162"/>
      <c r="L24" s="162"/>
      <c r="M24" s="162"/>
      <c r="N24" s="162"/>
      <c r="O24" s="162"/>
      <c r="P24" s="171"/>
      <c r="Q24" s="172"/>
      <c r="R24" s="172"/>
      <c r="S24" s="173"/>
      <c r="T24" s="161">
        <f>SUMIF('ПЛ-ТК'!$D$11:$D$41,'СЗ-ТК'!D24,'ПЛ-ТК'!$O$11:$Q$41)</f>
        <v>0</v>
      </c>
      <c r="U24" s="161"/>
      <c r="V24" s="161"/>
      <c r="W24" s="159">
        <f t="shared" si="0"/>
        <v>0</v>
      </c>
      <c r="X24" s="159"/>
      <c r="Y24" s="159"/>
      <c r="Z24" s="159"/>
      <c r="AA24" s="159"/>
      <c r="AB24" s="159"/>
      <c r="AC24" s="160"/>
      <c r="AD24" s="15"/>
      <c r="AN24" s="53" t="s">
        <v>198</v>
      </c>
      <c r="AO24" s="53" t="s">
        <v>194</v>
      </c>
      <c r="AP24" s="41"/>
      <c r="AQ24" s="41"/>
      <c r="AR24" s="41"/>
      <c r="AS24" s="41"/>
      <c r="AT24" s="41"/>
    </row>
    <row r="25" spans="1:46" x14ac:dyDescent="0.25">
      <c r="A25" s="15"/>
      <c r="B25" s="15"/>
      <c r="C25" s="52">
        <v>5</v>
      </c>
      <c r="D25" s="162" t="str">
        <f>'Список проектов'!B6</f>
        <v>СЕ-2025-000039114</v>
      </c>
      <c r="E25" s="162"/>
      <c r="F25" s="162"/>
      <c r="G25" s="162"/>
      <c r="H25" s="162"/>
      <c r="I25" s="162"/>
      <c r="J25" s="162"/>
      <c r="K25" s="162"/>
      <c r="L25" s="162"/>
      <c r="M25" s="162"/>
      <c r="N25" s="162"/>
      <c r="O25" s="162"/>
      <c r="P25" s="171"/>
      <c r="Q25" s="172"/>
      <c r="R25" s="172"/>
      <c r="S25" s="173"/>
      <c r="T25" s="161">
        <f>SUMIF('ПЛ-ТК'!$D$11:$D$41,'СЗ-ТК'!D25,'ПЛ-ТК'!$O$11:$Q$41)</f>
        <v>0</v>
      </c>
      <c r="U25" s="161"/>
      <c r="V25" s="161"/>
      <c r="W25" s="159">
        <f t="shared" ref="W25:W30" si="1">T25*$P$21</f>
        <v>0</v>
      </c>
      <c r="X25" s="159"/>
      <c r="Y25" s="159"/>
      <c r="Z25" s="159"/>
      <c r="AA25" s="159"/>
      <c r="AB25" s="159"/>
      <c r="AC25" s="160"/>
      <c r="AD25" s="15"/>
      <c r="AN25" s="53" t="s">
        <v>199</v>
      </c>
      <c r="AO25" s="53" t="s">
        <v>190</v>
      </c>
      <c r="AP25" s="41"/>
      <c r="AQ25" s="41"/>
      <c r="AR25" s="41"/>
      <c r="AS25" s="41"/>
      <c r="AT25" s="41"/>
    </row>
    <row r="26" spans="1:46" x14ac:dyDescent="0.25">
      <c r="A26" s="15"/>
      <c r="B26" s="15"/>
      <c r="C26" s="52">
        <v>6</v>
      </c>
      <c r="D26" s="162" t="str">
        <f>'Список проектов'!B7</f>
        <v>СЕ-2025-000037324</v>
      </c>
      <c r="E26" s="162"/>
      <c r="F26" s="162"/>
      <c r="G26" s="162"/>
      <c r="H26" s="162"/>
      <c r="I26" s="162"/>
      <c r="J26" s="162"/>
      <c r="K26" s="162"/>
      <c r="L26" s="162"/>
      <c r="M26" s="162"/>
      <c r="N26" s="162"/>
      <c r="O26" s="162"/>
      <c r="P26" s="171"/>
      <c r="Q26" s="172"/>
      <c r="R26" s="172"/>
      <c r="S26" s="173"/>
      <c r="T26" s="161">
        <f>SUMIF('ПЛ-ТК'!$D$11:$D$41,'СЗ-ТК'!D26,'ПЛ-ТК'!$O$11:$Q$41)</f>
        <v>0</v>
      </c>
      <c r="U26" s="161"/>
      <c r="V26" s="161"/>
      <c r="W26" s="159">
        <f t="shared" si="1"/>
        <v>0</v>
      </c>
      <c r="X26" s="159"/>
      <c r="Y26" s="159"/>
      <c r="Z26" s="159"/>
      <c r="AA26" s="159"/>
      <c r="AB26" s="159"/>
      <c r="AC26" s="160"/>
      <c r="AD26" s="15"/>
      <c r="AN26" s="53" t="s">
        <v>180</v>
      </c>
      <c r="AO26" s="53" t="s">
        <v>181</v>
      </c>
      <c r="AP26" s="41"/>
      <c r="AQ26" s="41"/>
      <c r="AR26" s="41"/>
      <c r="AS26" s="41"/>
      <c r="AT26" s="41"/>
    </row>
    <row r="27" spans="1:46" x14ac:dyDescent="0.25">
      <c r="A27" s="15"/>
      <c r="B27" s="15"/>
      <c r="C27" s="52">
        <v>7</v>
      </c>
      <c r="D27" s="162" t="str">
        <f>'Список проектов'!B8</f>
        <v>СЕ-2025-000033807</v>
      </c>
      <c r="E27" s="162"/>
      <c r="F27" s="162"/>
      <c r="G27" s="162"/>
      <c r="H27" s="162"/>
      <c r="I27" s="162"/>
      <c r="J27" s="162"/>
      <c r="K27" s="162"/>
      <c r="L27" s="162"/>
      <c r="M27" s="162"/>
      <c r="N27" s="162"/>
      <c r="O27" s="162"/>
      <c r="P27" s="171"/>
      <c r="Q27" s="172"/>
      <c r="R27" s="172"/>
      <c r="S27" s="173"/>
      <c r="T27" s="161">
        <f>SUMIF('ПЛ-ТК'!$D$11:$D$41,'СЗ-ТК'!D27,'ПЛ-ТК'!$O$11:$Q$41)</f>
        <v>0</v>
      </c>
      <c r="U27" s="161"/>
      <c r="V27" s="161"/>
      <c r="W27" s="159">
        <f t="shared" si="1"/>
        <v>0</v>
      </c>
      <c r="X27" s="159"/>
      <c r="Y27" s="159"/>
      <c r="Z27" s="159"/>
      <c r="AA27" s="159"/>
      <c r="AB27" s="159"/>
      <c r="AC27" s="160"/>
      <c r="AD27" s="15"/>
      <c r="AN27" s="53" t="s">
        <v>64</v>
      </c>
      <c r="AO27" s="53" t="s">
        <v>169</v>
      </c>
      <c r="AP27" s="41"/>
      <c r="AQ27" s="41"/>
      <c r="AR27" s="41"/>
      <c r="AS27" s="41"/>
      <c r="AT27" s="41"/>
    </row>
    <row r="28" spans="1:46" ht="15" customHeight="1" x14ac:dyDescent="0.25">
      <c r="A28" s="15"/>
      <c r="B28" s="15"/>
      <c r="C28" s="52">
        <v>8</v>
      </c>
      <c r="D28" s="162" t="str">
        <f>'Список проектов'!B9</f>
        <v>СЕ-2022-000020206</v>
      </c>
      <c r="E28" s="162"/>
      <c r="F28" s="162"/>
      <c r="G28" s="162"/>
      <c r="H28" s="162"/>
      <c r="I28" s="162"/>
      <c r="J28" s="162"/>
      <c r="K28" s="162"/>
      <c r="L28" s="162"/>
      <c r="M28" s="162"/>
      <c r="N28" s="162"/>
      <c r="O28" s="162"/>
      <c r="P28" s="171"/>
      <c r="Q28" s="172"/>
      <c r="R28" s="172"/>
      <c r="S28" s="173"/>
      <c r="T28" s="161">
        <f>SUMIF('ПЛ-ТК'!$D$11:$D$41,'СЗ-ТК'!D28,'ПЛ-ТК'!$O$11:$Q$41)</f>
        <v>0</v>
      </c>
      <c r="U28" s="161"/>
      <c r="V28" s="161"/>
      <c r="W28" s="159">
        <f t="shared" ref="W28" si="2">T28*$P$21</f>
        <v>0</v>
      </c>
      <c r="X28" s="159"/>
      <c r="Y28" s="159"/>
      <c r="Z28" s="159"/>
      <c r="AA28" s="159"/>
      <c r="AB28" s="159"/>
      <c r="AC28" s="160"/>
      <c r="AD28" s="15"/>
      <c r="AN28" s="53" t="s">
        <v>167</v>
      </c>
      <c r="AO28" s="53" t="s">
        <v>155</v>
      </c>
      <c r="AP28" s="41"/>
      <c r="AQ28" s="41"/>
      <c r="AR28" s="41"/>
      <c r="AS28" s="41"/>
      <c r="AT28" s="41"/>
    </row>
    <row r="29" spans="1:46" ht="15" customHeight="1" x14ac:dyDescent="0.25">
      <c r="A29" s="15"/>
      <c r="B29" s="15"/>
      <c r="C29" s="52">
        <v>9</v>
      </c>
      <c r="D29" s="162" t="str">
        <f>'Список проектов'!B10</f>
        <v>СЕ-2022-000020190</v>
      </c>
      <c r="E29" s="162"/>
      <c r="F29" s="162"/>
      <c r="G29" s="162"/>
      <c r="H29" s="162"/>
      <c r="I29" s="162"/>
      <c r="J29" s="162"/>
      <c r="K29" s="162"/>
      <c r="L29" s="162"/>
      <c r="M29" s="162"/>
      <c r="N29" s="162"/>
      <c r="O29" s="162"/>
      <c r="P29" s="171"/>
      <c r="Q29" s="172"/>
      <c r="R29" s="172"/>
      <c r="S29" s="173"/>
      <c r="T29" s="161">
        <f>SUMIF('ПЛ-ТК'!$D$11:$D$41,'СЗ-ТК'!D29,'ПЛ-ТК'!$O$11:$Q$41)</f>
        <v>0</v>
      </c>
      <c r="U29" s="161"/>
      <c r="V29" s="161"/>
      <c r="W29" s="159">
        <f t="shared" si="1"/>
        <v>0</v>
      </c>
      <c r="X29" s="159"/>
      <c r="Y29" s="159"/>
      <c r="Z29" s="159"/>
      <c r="AA29" s="159"/>
      <c r="AB29" s="159"/>
      <c r="AC29" s="160"/>
      <c r="AD29" s="15"/>
      <c r="AN29" s="53" t="s">
        <v>77</v>
      </c>
      <c r="AO29" s="53" t="s">
        <v>149</v>
      </c>
      <c r="AP29" s="41"/>
      <c r="AQ29" s="41"/>
      <c r="AR29" s="41"/>
      <c r="AS29" s="41"/>
      <c r="AT29" s="41"/>
    </row>
    <row r="30" spans="1:46" ht="15" customHeight="1" x14ac:dyDescent="0.25">
      <c r="A30" s="15"/>
      <c r="B30" s="15"/>
      <c r="C30" s="52">
        <v>10</v>
      </c>
      <c r="D30" s="162" t="str">
        <f>'Список проектов'!B11</f>
        <v>СЕ-2024-000029533</v>
      </c>
      <c r="E30" s="162"/>
      <c r="F30" s="162"/>
      <c r="G30" s="162"/>
      <c r="H30" s="162"/>
      <c r="I30" s="162"/>
      <c r="J30" s="162"/>
      <c r="K30" s="162"/>
      <c r="L30" s="162"/>
      <c r="M30" s="162"/>
      <c r="N30" s="162"/>
      <c r="O30" s="162"/>
      <c r="P30" s="171"/>
      <c r="Q30" s="172"/>
      <c r="R30" s="172"/>
      <c r="S30" s="173"/>
      <c r="T30" s="161">
        <f>SUMIF('ПЛ-ТК'!$D$11:$D$41,'СЗ-ТК'!D30,'ПЛ-ТК'!$O$11:$Q$41)</f>
        <v>0</v>
      </c>
      <c r="U30" s="161"/>
      <c r="V30" s="161"/>
      <c r="W30" s="159">
        <f t="shared" si="1"/>
        <v>0</v>
      </c>
      <c r="X30" s="159"/>
      <c r="Y30" s="159"/>
      <c r="Z30" s="159"/>
      <c r="AA30" s="159"/>
      <c r="AB30" s="159"/>
      <c r="AC30" s="160"/>
      <c r="AD30" s="15"/>
      <c r="AN30" s="53" t="s">
        <v>82</v>
      </c>
      <c r="AO30" s="53" t="s">
        <v>170</v>
      </c>
      <c r="AP30" s="41"/>
      <c r="AQ30" s="41"/>
      <c r="AR30" s="41"/>
      <c r="AS30" s="41"/>
      <c r="AT30" s="41"/>
    </row>
    <row r="31" spans="1:46" ht="15" customHeight="1" x14ac:dyDescent="0.25">
      <c r="A31" s="15"/>
      <c r="B31" s="15"/>
      <c r="C31" s="52">
        <v>11</v>
      </c>
      <c r="D31" s="162" t="str">
        <f>'Список проектов'!B12</f>
        <v>СЕ-2025-000033887</v>
      </c>
      <c r="E31" s="162"/>
      <c r="F31" s="162"/>
      <c r="G31" s="162"/>
      <c r="H31" s="162"/>
      <c r="I31" s="162"/>
      <c r="J31" s="162"/>
      <c r="K31" s="162"/>
      <c r="L31" s="162"/>
      <c r="M31" s="162"/>
      <c r="N31" s="162"/>
      <c r="O31" s="162"/>
      <c r="P31" s="171"/>
      <c r="Q31" s="172"/>
      <c r="R31" s="172"/>
      <c r="S31" s="173"/>
      <c r="T31" s="161">
        <f>SUMIF('ПЛ-ТК'!$D$11:$D$41,'СЗ-ТК'!D31,'ПЛ-ТК'!$O$11:$Q$41)</f>
        <v>0</v>
      </c>
      <c r="U31" s="161"/>
      <c r="V31" s="161"/>
      <c r="W31" s="159">
        <f t="shared" si="0"/>
        <v>0</v>
      </c>
      <c r="X31" s="159"/>
      <c r="Y31" s="159"/>
      <c r="Z31" s="159"/>
      <c r="AA31" s="159"/>
      <c r="AB31" s="159"/>
      <c r="AC31" s="160"/>
      <c r="AD31" s="15"/>
      <c r="AN31" s="53" t="s">
        <v>80</v>
      </c>
      <c r="AO31" s="53" t="s">
        <v>200</v>
      </c>
      <c r="AP31" s="41"/>
      <c r="AQ31" s="41"/>
      <c r="AR31" s="41"/>
      <c r="AS31" s="41"/>
      <c r="AT31" s="41"/>
    </row>
    <row r="32" spans="1:46" ht="15" customHeight="1" x14ac:dyDescent="0.25">
      <c r="A32" s="15"/>
      <c r="B32" s="15"/>
      <c r="C32" s="52">
        <v>12</v>
      </c>
      <c r="D32" s="162" t="str">
        <f>'Список проектов'!B13</f>
        <v>СЕ-2022-000020148</v>
      </c>
      <c r="E32" s="162"/>
      <c r="F32" s="162"/>
      <c r="G32" s="162"/>
      <c r="H32" s="162"/>
      <c r="I32" s="162"/>
      <c r="J32" s="162"/>
      <c r="K32" s="162"/>
      <c r="L32" s="162"/>
      <c r="M32" s="162"/>
      <c r="N32" s="162"/>
      <c r="O32" s="162"/>
      <c r="P32" s="171"/>
      <c r="Q32" s="172"/>
      <c r="R32" s="172"/>
      <c r="S32" s="173"/>
      <c r="T32" s="161">
        <f>SUMIF('ПЛ-ТК'!$D$11:$D$41,'СЗ-ТК'!D32,'ПЛ-ТК'!$O$11:$Q$41)</f>
        <v>0</v>
      </c>
      <c r="U32" s="161"/>
      <c r="V32" s="161"/>
      <c r="W32" s="159">
        <f>T32*$P$21</f>
        <v>0</v>
      </c>
      <c r="X32" s="159"/>
      <c r="Y32" s="159"/>
      <c r="Z32" s="159"/>
      <c r="AA32" s="159"/>
      <c r="AB32" s="159"/>
      <c r="AC32" s="160"/>
      <c r="AD32" s="15"/>
      <c r="AN32" s="53" t="s">
        <v>66</v>
      </c>
      <c r="AO32" s="53" t="s">
        <v>154</v>
      </c>
      <c r="AP32" s="41"/>
      <c r="AQ32" s="41"/>
      <c r="AR32" s="41"/>
      <c r="AS32" s="41"/>
      <c r="AT32" s="41"/>
    </row>
    <row r="33" spans="1:46" ht="15" customHeight="1" x14ac:dyDescent="0.25">
      <c r="A33" s="15"/>
      <c r="B33" s="15"/>
      <c r="C33" s="52">
        <v>13</v>
      </c>
      <c r="D33" s="162" t="str">
        <f>'Список проектов'!B14</f>
        <v>СЕ-2023-000027453</v>
      </c>
      <c r="E33" s="162"/>
      <c r="F33" s="162"/>
      <c r="G33" s="162"/>
      <c r="H33" s="162"/>
      <c r="I33" s="162"/>
      <c r="J33" s="162"/>
      <c r="K33" s="162"/>
      <c r="L33" s="162"/>
      <c r="M33" s="162"/>
      <c r="N33" s="162"/>
      <c r="O33" s="162"/>
      <c r="P33" s="171"/>
      <c r="Q33" s="172"/>
      <c r="R33" s="172"/>
      <c r="S33" s="173"/>
      <c r="T33" s="161">
        <f>SUMIF('ПЛ-ТК'!$D$11:$D$41,'СЗ-ТК'!D33,'ПЛ-ТК'!$O$11:$Q$41)</f>
        <v>0</v>
      </c>
      <c r="U33" s="161"/>
      <c r="V33" s="161"/>
      <c r="W33" s="159">
        <f t="shared" si="0"/>
        <v>0</v>
      </c>
      <c r="X33" s="159"/>
      <c r="Y33" s="159"/>
      <c r="Z33" s="159"/>
      <c r="AA33" s="159"/>
      <c r="AB33" s="159"/>
      <c r="AC33" s="160"/>
      <c r="AD33" s="15"/>
      <c r="AN33" s="53" t="s">
        <v>150</v>
      </c>
      <c r="AO33" s="53" t="s">
        <v>153</v>
      </c>
      <c r="AP33" s="41"/>
      <c r="AQ33" s="41"/>
      <c r="AR33" s="41"/>
      <c r="AS33" s="41"/>
      <c r="AT33" s="41"/>
    </row>
    <row r="34" spans="1:46" ht="15" customHeight="1" x14ac:dyDescent="0.25">
      <c r="A34" s="15"/>
      <c r="B34" s="15"/>
      <c r="C34" s="52">
        <v>14</v>
      </c>
      <c r="D34" s="162" t="str">
        <f>'Список проектов'!B15</f>
        <v>СЕ-2024-000032511</v>
      </c>
      <c r="E34" s="162"/>
      <c r="F34" s="162"/>
      <c r="G34" s="162"/>
      <c r="H34" s="162"/>
      <c r="I34" s="162"/>
      <c r="J34" s="162"/>
      <c r="K34" s="162"/>
      <c r="L34" s="162"/>
      <c r="M34" s="162"/>
      <c r="N34" s="162"/>
      <c r="O34" s="162"/>
      <c r="P34" s="171"/>
      <c r="Q34" s="172"/>
      <c r="R34" s="172"/>
      <c r="S34" s="173"/>
      <c r="T34" s="161">
        <f>SUMIF('ПЛ-ТК'!$D$11:$D$41,'СЗ-ТК'!D34,'ПЛ-ТК'!$O$11:$Q$41)</f>
        <v>0</v>
      </c>
      <c r="U34" s="161"/>
      <c r="V34" s="161"/>
      <c r="W34" s="159">
        <f t="shared" si="0"/>
        <v>0</v>
      </c>
      <c r="X34" s="159"/>
      <c r="Y34" s="159"/>
      <c r="Z34" s="159"/>
      <c r="AA34" s="159"/>
      <c r="AB34" s="159"/>
      <c r="AC34" s="160"/>
      <c r="AD34" s="15"/>
      <c r="AN34" s="53" t="s">
        <v>164</v>
      </c>
      <c r="AO34" s="53" t="s">
        <v>165</v>
      </c>
      <c r="AP34" s="41"/>
      <c r="AQ34" s="41"/>
      <c r="AR34" s="41"/>
      <c r="AS34" s="41"/>
      <c r="AT34" s="41"/>
    </row>
    <row r="35" spans="1:46" ht="15" customHeight="1" x14ac:dyDescent="0.25">
      <c r="A35" s="15"/>
      <c r="B35" s="15"/>
      <c r="C35" s="52">
        <v>15</v>
      </c>
      <c r="D35" s="162" t="str">
        <f>'Список проектов'!B16</f>
        <v>СЕ-2023-000027463</v>
      </c>
      <c r="E35" s="162"/>
      <c r="F35" s="162"/>
      <c r="G35" s="162"/>
      <c r="H35" s="162"/>
      <c r="I35" s="162"/>
      <c r="J35" s="162"/>
      <c r="K35" s="162"/>
      <c r="L35" s="162"/>
      <c r="M35" s="162"/>
      <c r="N35" s="162"/>
      <c r="O35" s="162"/>
      <c r="P35" s="171"/>
      <c r="Q35" s="172"/>
      <c r="R35" s="172"/>
      <c r="S35" s="173"/>
      <c r="T35" s="161">
        <f>SUMIF('ПЛ-ТК'!$D$11:$D$41,'СЗ-ТК'!D35,'ПЛ-ТК'!$O$11:$Q$41)</f>
        <v>0</v>
      </c>
      <c r="U35" s="161"/>
      <c r="V35" s="161"/>
      <c r="W35" s="159">
        <f t="shared" ref="W35:W37" si="3">T35*$P$21</f>
        <v>0</v>
      </c>
      <c r="X35" s="159"/>
      <c r="Y35" s="159"/>
      <c r="Z35" s="159"/>
      <c r="AA35" s="159"/>
      <c r="AB35" s="159"/>
      <c r="AC35" s="160"/>
      <c r="AD35" s="15"/>
      <c r="AN35" s="53" t="s">
        <v>151</v>
      </c>
      <c r="AO35" s="53" t="s">
        <v>152</v>
      </c>
      <c r="AP35" s="41"/>
      <c r="AQ35" s="41"/>
      <c r="AR35" s="41"/>
      <c r="AS35" s="41"/>
      <c r="AT35" s="41"/>
    </row>
    <row r="36" spans="1:46" ht="15" customHeight="1" x14ac:dyDescent="0.25">
      <c r="A36" s="15"/>
      <c r="B36" s="15"/>
      <c r="C36" s="52">
        <v>16</v>
      </c>
      <c r="D36" s="162" t="str">
        <f>'Список проектов'!B17</f>
        <v>СЕ-2023-000020721</v>
      </c>
      <c r="E36" s="162"/>
      <c r="F36" s="162"/>
      <c r="G36" s="162"/>
      <c r="H36" s="162"/>
      <c r="I36" s="162"/>
      <c r="J36" s="162"/>
      <c r="K36" s="162"/>
      <c r="L36" s="162"/>
      <c r="M36" s="162"/>
      <c r="N36" s="162"/>
      <c r="O36" s="162"/>
      <c r="P36" s="171"/>
      <c r="Q36" s="172"/>
      <c r="R36" s="172"/>
      <c r="S36" s="173"/>
      <c r="T36" s="161">
        <f>SUMIF('ПЛ-ТК'!$D$11:$D$41,'СЗ-ТК'!D36,'ПЛ-ТК'!$O$11:$Q$41)</f>
        <v>0</v>
      </c>
      <c r="U36" s="161"/>
      <c r="V36" s="161"/>
      <c r="W36" s="159">
        <f t="shared" ref="W36" si="4">T36*$P$21</f>
        <v>0</v>
      </c>
      <c r="X36" s="159"/>
      <c r="Y36" s="159"/>
      <c r="Z36" s="159"/>
      <c r="AA36" s="159"/>
      <c r="AB36" s="159"/>
      <c r="AC36" s="160"/>
      <c r="AD36" s="15"/>
      <c r="AN36" s="53" t="s">
        <v>168</v>
      </c>
      <c r="AO36" s="53" t="s">
        <v>166</v>
      </c>
      <c r="AP36" s="41"/>
      <c r="AQ36" s="41"/>
      <c r="AR36" s="41"/>
      <c r="AS36" s="41"/>
      <c r="AT36" s="41"/>
    </row>
    <row r="37" spans="1:46" ht="15" customHeight="1" x14ac:dyDescent="0.25">
      <c r="A37" s="15"/>
      <c r="B37" s="15"/>
      <c r="C37" s="52">
        <v>17</v>
      </c>
      <c r="D37" s="162" t="str">
        <f>'Список проектов'!B18</f>
        <v>СЕ-2025-000033697</v>
      </c>
      <c r="E37" s="162"/>
      <c r="F37" s="162"/>
      <c r="G37" s="162"/>
      <c r="H37" s="162"/>
      <c r="I37" s="162"/>
      <c r="J37" s="162"/>
      <c r="K37" s="162"/>
      <c r="L37" s="162"/>
      <c r="M37" s="162"/>
      <c r="N37" s="162"/>
      <c r="O37" s="162"/>
      <c r="P37" s="171"/>
      <c r="Q37" s="172"/>
      <c r="R37" s="172"/>
      <c r="S37" s="173"/>
      <c r="T37" s="161">
        <f>SUMIF('ПЛ-ТК'!$D$11:$D$41,'СЗ-ТК'!D37,'ПЛ-ТК'!$O$11:$Q$41)</f>
        <v>0</v>
      </c>
      <c r="U37" s="161"/>
      <c r="V37" s="161"/>
      <c r="W37" s="159">
        <f t="shared" si="3"/>
        <v>0</v>
      </c>
      <c r="X37" s="159"/>
      <c r="Y37" s="159"/>
      <c r="Z37" s="159"/>
      <c r="AA37" s="159"/>
      <c r="AB37" s="159"/>
      <c r="AC37" s="160"/>
      <c r="AD37" s="15"/>
      <c r="AN37" s="53" t="s">
        <v>172</v>
      </c>
      <c r="AO37" s="53" t="s">
        <v>171</v>
      </c>
      <c r="AP37" s="41"/>
      <c r="AQ37" s="41"/>
      <c r="AR37" s="41"/>
      <c r="AS37" s="41"/>
      <c r="AT37" s="41"/>
    </row>
    <row r="38" spans="1:46" ht="15" customHeight="1" x14ac:dyDescent="0.25">
      <c r="A38" s="15"/>
      <c r="B38" s="15"/>
      <c r="C38" s="52">
        <v>18</v>
      </c>
      <c r="D38" s="162" t="str">
        <f>'Список проектов'!B19</f>
        <v>СЕ-2024-000030403</v>
      </c>
      <c r="E38" s="162"/>
      <c r="F38" s="162"/>
      <c r="G38" s="162"/>
      <c r="H38" s="162"/>
      <c r="I38" s="162"/>
      <c r="J38" s="162"/>
      <c r="K38" s="162"/>
      <c r="L38" s="162"/>
      <c r="M38" s="162"/>
      <c r="N38" s="162"/>
      <c r="O38" s="162"/>
      <c r="P38" s="171"/>
      <c r="Q38" s="172"/>
      <c r="R38" s="172"/>
      <c r="S38" s="173"/>
      <c r="T38" s="161">
        <f>SUMIF('ПЛ-ТК'!$D$11:$D$41,'СЗ-ТК'!D38,'ПЛ-ТК'!$O$11:$Q$41)</f>
        <v>0</v>
      </c>
      <c r="U38" s="161"/>
      <c r="V38" s="161"/>
      <c r="W38" s="159">
        <f t="shared" ref="W38:W39" si="5">T38*$P$21</f>
        <v>0</v>
      </c>
      <c r="X38" s="159"/>
      <c r="Y38" s="159"/>
      <c r="Z38" s="159"/>
      <c r="AA38" s="159"/>
      <c r="AB38" s="159"/>
      <c r="AC38" s="160"/>
      <c r="AD38" s="15"/>
      <c r="AN38" s="53" t="s">
        <v>177</v>
      </c>
      <c r="AO38" s="53" t="s">
        <v>176</v>
      </c>
      <c r="AP38" s="41"/>
      <c r="AQ38" s="41"/>
      <c r="AR38" s="41"/>
      <c r="AS38" s="41"/>
      <c r="AT38" s="41"/>
    </row>
    <row r="39" spans="1:46" ht="15" customHeight="1" x14ac:dyDescent="0.25">
      <c r="A39" s="15"/>
      <c r="B39" s="15"/>
      <c r="C39" s="52">
        <v>19</v>
      </c>
      <c r="D39" s="162" t="str">
        <f>'Список проектов'!B20</f>
        <v xml:space="preserve">СЕ-2024-000031880 </v>
      </c>
      <c r="E39" s="162"/>
      <c r="F39" s="162"/>
      <c r="G39" s="162"/>
      <c r="H39" s="162"/>
      <c r="I39" s="162"/>
      <c r="J39" s="162"/>
      <c r="K39" s="162"/>
      <c r="L39" s="162"/>
      <c r="M39" s="162"/>
      <c r="N39" s="162"/>
      <c r="O39" s="162"/>
      <c r="P39" s="171"/>
      <c r="Q39" s="172"/>
      <c r="R39" s="172"/>
      <c r="S39" s="173"/>
      <c r="T39" s="161">
        <f>SUMIF('ПЛ-ТК'!$D$11:$D$41,'СЗ-ТК'!D39,'ПЛ-ТК'!$O$11:$Q$41)</f>
        <v>0</v>
      </c>
      <c r="U39" s="161"/>
      <c r="V39" s="161"/>
      <c r="W39" s="159">
        <f t="shared" si="5"/>
        <v>0</v>
      </c>
      <c r="X39" s="159"/>
      <c r="Y39" s="159"/>
      <c r="Z39" s="159"/>
      <c r="AA39" s="159"/>
      <c r="AB39" s="159"/>
      <c r="AC39" s="160"/>
      <c r="AD39" s="15"/>
      <c r="AN39" s="53" t="s">
        <v>173</v>
      </c>
      <c r="AO39" s="53" t="s">
        <v>174</v>
      </c>
      <c r="AP39" s="41"/>
      <c r="AQ39" s="41"/>
      <c r="AR39" s="41"/>
      <c r="AS39" s="41"/>
      <c r="AT39" s="41"/>
    </row>
    <row r="40" spans="1:46" ht="15" customHeight="1" x14ac:dyDescent="0.25">
      <c r="A40" s="15"/>
      <c r="B40" s="15"/>
      <c r="C40" s="52">
        <v>20</v>
      </c>
      <c r="D40" s="162" t="str">
        <f>'Список проектов'!B21</f>
        <v>СЕ-2022-000020208</v>
      </c>
      <c r="E40" s="162"/>
      <c r="F40" s="162"/>
      <c r="G40" s="162"/>
      <c r="H40" s="162"/>
      <c r="I40" s="162"/>
      <c r="J40" s="162"/>
      <c r="K40" s="162"/>
      <c r="L40" s="162"/>
      <c r="M40" s="162"/>
      <c r="N40" s="162"/>
      <c r="O40" s="162"/>
      <c r="P40" s="171"/>
      <c r="Q40" s="172"/>
      <c r="R40" s="172"/>
      <c r="S40" s="173"/>
      <c r="T40" s="161">
        <f>SUMIF('ПЛ-ТК'!$D$11:$D$41,'СЗ-ТК'!D40,'ПЛ-ТК'!$O$11:$Q$41)</f>
        <v>0</v>
      </c>
      <c r="U40" s="161"/>
      <c r="V40" s="161"/>
      <c r="W40" s="159">
        <f t="shared" ref="W40" si="6">T40*$P$21</f>
        <v>0</v>
      </c>
      <c r="X40" s="159"/>
      <c r="Y40" s="159"/>
      <c r="Z40" s="159"/>
      <c r="AA40" s="159"/>
      <c r="AB40" s="159"/>
      <c r="AC40" s="160"/>
      <c r="AD40" s="15"/>
      <c r="AN40" s="53" t="s">
        <v>178</v>
      </c>
      <c r="AO40" s="53" t="s">
        <v>179</v>
      </c>
      <c r="AP40" s="41"/>
      <c r="AQ40" s="41"/>
      <c r="AR40" s="41"/>
      <c r="AS40" s="41"/>
      <c r="AT40" s="41"/>
    </row>
    <row r="41" spans="1:46" ht="15" customHeight="1" x14ac:dyDescent="0.25">
      <c r="A41" s="15"/>
      <c r="B41" s="15"/>
      <c r="C41" s="52">
        <v>21</v>
      </c>
      <c r="D41" s="162" t="str">
        <f>'Список проектов'!B22</f>
        <v>СЕ-2025-000034193</v>
      </c>
      <c r="E41" s="162"/>
      <c r="F41" s="162"/>
      <c r="G41" s="162"/>
      <c r="H41" s="162"/>
      <c r="I41" s="162"/>
      <c r="J41" s="162"/>
      <c r="K41" s="162"/>
      <c r="L41" s="162"/>
      <c r="M41" s="162"/>
      <c r="N41" s="162"/>
      <c r="O41" s="162"/>
      <c r="P41" s="174"/>
      <c r="Q41" s="175"/>
      <c r="R41" s="175"/>
      <c r="S41" s="176"/>
      <c r="T41" s="161">
        <f>SUMIF('ПЛ-ТК'!$D$11:$D$41,'СЗ-ТК'!D41,'ПЛ-ТК'!$O$11:$Q$41)</f>
        <v>0</v>
      </c>
      <c r="U41" s="161"/>
      <c r="V41" s="161"/>
      <c r="W41" s="159">
        <f t="shared" ref="W41" si="7">T41*$P$21</f>
        <v>0</v>
      </c>
      <c r="X41" s="159"/>
      <c r="Y41" s="159"/>
      <c r="Z41" s="159"/>
      <c r="AA41" s="159"/>
      <c r="AB41" s="159"/>
      <c r="AC41" s="160"/>
      <c r="AD41" s="15"/>
      <c r="AN41" s="53" t="s">
        <v>182</v>
      </c>
      <c r="AO41" s="53" t="s">
        <v>183</v>
      </c>
      <c r="AP41" s="41"/>
      <c r="AQ41" s="41"/>
      <c r="AR41" s="41"/>
      <c r="AS41" s="41"/>
      <c r="AT41" s="41"/>
    </row>
    <row r="42" spans="1:46" x14ac:dyDescent="0.25">
      <c r="A42" s="15"/>
      <c r="B42" s="15"/>
      <c r="C42" s="192" t="s">
        <v>75</v>
      </c>
      <c r="D42" s="192"/>
      <c r="E42" s="192"/>
      <c r="F42" s="192"/>
      <c r="G42" s="192"/>
      <c r="H42" s="192"/>
      <c r="I42" s="192"/>
      <c r="J42" s="192"/>
      <c r="K42" s="192"/>
      <c r="L42" s="192"/>
      <c r="M42" s="192"/>
      <c r="N42" s="192"/>
      <c r="O42" s="192"/>
      <c r="P42" s="192"/>
      <c r="Q42" s="192"/>
      <c r="R42" s="192"/>
      <c r="S42" s="193"/>
      <c r="T42" s="164">
        <f>SUM(T21:V41)</f>
        <v>0</v>
      </c>
      <c r="U42" s="164"/>
      <c r="V42" s="164"/>
      <c r="W42" s="163">
        <f>SUM(W21:AC41)</f>
        <v>0</v>
      </c>
      <c r="X42" s="164"/>
      <c r="Y42" s="164"/>
      <c r="Z42" s="164"/>
      <c r="AA42" s="164"/>
      <c r="AB42" s="164"/>
      <c r="AC42" s="165"/>
      <c r="AD42" s="15"/>
      <c r="AN42" s="19"/>
      <c r="AO42" s="41"/>
      <c r="AP42" s="41"/>
      <c r="AQ42" s="41"/>
      <c r="AR42" s="41"/>
      <c r="AS42" s="41"/>
      <c r="AT42" s="41"/>
    </row>
    <row r="43" spans="1:46" ht="21" x14ac:dyDescent="0.35">
      <c r="I43" s="11"/>
      <c r="O43" s="13"/>
      <c r="P43" s="13"/>
      <c r="Q43" s="13"/>
      <c r="R43" s="13"/>
      <c r="T43" s="13"/>
      <c r="U43" s="13"/>
      <c r="V43" s="13"/>
      <c r="W43" s="13"/>
      <c r="Y43" s="13"/>
      <c r="Z43" s="13"/>
      <c r="AA43" s="13"/>
      <c r="AB43" s="13"/>
      <c r="AC43" s="12"/>
      <c r="AO43" s="41"/>
      <c r="AP43" s="41"/>
      <c r="AQ43" s="41"/>
      <c r="AR43" s="41"/>
      <c r="AS43" s="41"/>
      <c r="AT43" s="41"/>
    </row>
    <row r="44" spans="1:46" s="33" customFormat="1" x14ac:dyDescent="0.25">
      <c r="B44" s="47" t="s">
        <v>186</v>
      </c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47"/>
      <c r="AG44" s="47"/>
      <c r="AH44" s="47"/>
      <c r="AI44" s="47"/>
      <c r="AO44" s="42"/>
      <c r="AP44" s="42"/>
      <c r="AQ44" s="42"/>
      <c r="AR44" s="42"/>
      <c r="AS44" s="42"/>
      <c r="AT44" s="42"/>
    </row>
    <row r="45" spans="1:46" s="33" customFormat="1" ht="15" customHeight="1" x14ac:dyDescent="0.25">
      <c r="B45" s="184" t="s">
        <v>187</v>
      </c>
      <c r="C45" s="184"/>
      <c r="D45" s="184"/>
      <c r="E45" s="184"/>
      <c r="F45" s="184"/>
      <c r="G45" s="184"/>
      <c r="H45" s="184"/>
      <c r="I45" s="184"/>
      <c r="J45" s="184"/>
      <c r="K45" s="184"/>
      <c r="L45" s="184"/>
      <c r="M45" s="184"/>
      <c r="N45" s="184"/>
      <c r="O45" s="184"/>
      <c r="P45" s="184"/>
      <c r="Q45" s="184"/>
      <c r="R45" s="184"/>
      <c r="S45" s="184"/>
      <c r="T45" s="184"/>
      <c r="U45" s="184"/>
      <c r="V45" s="184"/>
      <c r="W45" s="184"/>
      <c r="X45" s="184"/>
      <c r="Y45" s="184"/>
      <c r="Z45" s="184"/>
      <c r="AA45" s="184"/>
      <c r="AB45" s="184"/>
      <c r="AC45" s="184"/>
      <c r="AD45" s="184"/>
      <c r="AE45" s="184"/>
      <c r="AF45" s="184"/>
      <c r="AG45" s="184"/>
      <c r="AH45" s="184"/>
      <c r="AI45" s="184"/>
      <c r="AO45" s="42"/>
      <c r="AP45" s="42"/>
      <c r="AQ45" s="42"/>
      <c r="AR45" s="42"/>
      <c r="AS45" s="42"/>
      <c r="AT45" s="42"/>
    </row>
    <row r="46" spans="1:46" s="33" customFormat="1" ht="15" customHeight="1" x14ac:dyDescent="0.25">
      <c r="B46" s="184" t="s">
        <v>188</v>
      </c>
      <c r="C46" s="184"/>
      <c r="D46" s="184"/>
      <c r="E46" s="184"/>
      <c r="F46" s="184"/>
      <c r="G46" s="184"/>
      <c r="H46" s="184"/>
      <c r="I46" s="184"/>
      <c r="J46" s="184"/>
      <c r="K46" s="184"/>
      <c r="L46" s="184"/>
      <c r="M46" s="184"/>
      <c r="N46" s="184"/>
      <c r="O46" s="184"/>
      <c r="P46" s="185">
        <f>W42</f>
        <v>0</v>
      </c>
      <c r="Q46" s="185"/>
      <c r="R46" s="185"/>
      <c r="S46" s="185"/>
      <c r="T46" s="185"/>
      <c r="U46" s="50" t="s">
        <v>24</v>
      </c>
      <c r="V46" s="51"/>
      <c r="W46" s="51"/>
      <c r="AA46" s="47"/>
      <c r="AB46" s="49"/>
      <c r="AC46" s="48"/>
      <c r="AD46" s="49"/>
      <c r="AE46" s="49"/>
      <c r="AF46" s="49"/>
      <c r="AG46" s="47"/>
      <c r="AH46" s="47"/>
      <c r="AI46" s="47"/>
    </row>
    <row r="48" spans="1:46" ht="15.95" customHeight="1" x14ac:dyDescent="0.25">
      <c r="C48" s="6" t="s">
        <v>18</v>
      </c>
      <c r="I48" s="190">
        <f>SUM('Отчет по ТК '!$D$31:$D$38)</f>
        <v>0</v>
      </c>
      <c r="J48" s="190"/>
      <c r="K48" s="190"/>
      <c r="L48" s="190"/>
      <c r="M48" s="14" t="s">
        <v>40</v>
      </c>
      <c r="O48" s="12"/>
    </row>
    <row r="52" spans="3:31" x14ac:dyDescent="0.25">
      <c r="C52" s="6" t="s">
        <v>25</v>
      </c>
      <c r="P52" s="15"/>
      <c r="Q52" s="16"/>
      <c r="R52" s="16"/>
      <c r="S52" s="16"/>
      <c r="T52" s="16"/>
      <c r="U52" s="16"/>
      <c r="V52" s="16"/>
      <c r="W52" s="6" t="s">
        <v>26</v>
      </c>
      <c r="X52" s="183"/>
      <c r="Y52" s="183"/>
      <c r="Z52" s="183"/>
      <c r="AA52" s="183"/>
      <c r="AB52" s="183"/>
      <c r="AC52" s="183"/>
      <c r="AD52" s="15"/>
      <c r="AE52" s="6" t="s">
        <v>26</v>
      </c>
    </row>
    <row r="53" spans="3:31" x14ac:dyDescent="0.25">
      <c r="P53" s="17" t="s">
        <v>27</v>
      </c>
      <c r="Q53" s="182">
        <v>31</v>
      </c>
      <c r="R53" s="182"/>
      <c r="S53" s="27" t="s">
        <v>27</v>
      </c>
      <c r="T53" s="178" t="s">
        <v>201</v>
      </c>
      <c r="U53" s="179"/>
      <c r="V53" s="179"/>
      <c r="W53" s="179"/>
      <c r="X53" s="179"/>
      <c r="Y53" s="179"/>
      <c r="Z53" s="179"/>
      <c r="AA53" s="30" t="s">
        <v>185</v>
      </c>
      <c r="AB53" s="28"/>
      <c r="AC53" s="28"/>
    </row>
    <row r="56" spans="3:31" x14ac:dyDescent="0.25">
      <c r="C56" s="18" t="s">
        <v>29</v>
      </c>
      <c r="D56" s="18"/>
      <c r="E56" s="18"/>
      <c r="F56" s="18"/>
      <c r="G56" s="18"/>
      <c r="H56" s="18"/>
      <c r="I56" s="18"/>
      <c r="J56" s="18"/>
      <c r="K56" s="18"/>
    </row>
    <row r="57" spans="3:31" x14ac:dyDescent="0.25">
      <c r="C57" s="18" t="s">
        <v>30</v>
      </c>
      <c r="J57" s="186">
        <f>T42</f>
        <v>0</v>
      </c>
      <c r="K57" s="186"/>
      <c r="L57" s="186"/>
      <c r="M57" s="186"/>
      <c r="N57" s="186"/>
      <c r="O57" s="6" t="s">
        <v>31</v>
      </c>
    </row>
    <row r="58" spans="3:31" x14ac:dyDescent="0.25">
      <c r="C58" s="18" t="s">
        <v>28</v>
      </c>
      <c r="L58" s="191">
        <f>W42</f>
        <v>0</v>
      </c>
      <c r="M58" s="191"/>
      <c r="N58" s="191"/>
      <c r="O58" s="191"/>
      <c r="P58" s="191"/>
      <c r="Q58" s="6" t="s">
        <v>24</v>
      </c>
    </row>
    <row r="59" spans="3:31" ht="23.45" customHeight="1" x14ac:dyDescent="0.25">
      <c r="C59" s="18" t="s">
        <v>32</v>
      </c>
      <c r="G59" s="15"/>
      <c r="H59" s="16"/>
      <c r="I59" s="16"/>
      <c r="J59" s="16"/>
      <c r="K59" s="16"/>
      <c r="L59" s="16"/>
      <c r="M59" s="16"/>
      <c r="N59" s="6" t="s">
        <v>26</v>
      </c>
      <c r="O59" s="16"/>
      <c r="P59" s="16"/>
      <c r="Q59" s="16"/>
      <c r="R59" s="16"/>
      <c r="S59" s="16"/>
      <c r="T59" s="15"/>
      <c r="U59" s="6" t="s">
        <v>26</v>
      </c>
    </row>
    <row r="60" spans="3:31" x14ac:dyDescent="0.25">
      <c r="G60" s="17" t="s">
        <v>27</v>
      </c>
      <c r="H60" s="16"/>
      <c r="I60" s="16"/>
      <c r="J60" s="6" t="s">
        <v>27</v>
      </c>
      <c r="K60" s="16"/>
      <c r="L60" s="16"/>
      <c r="M60" s="16"/>
      <c r="N60" s="16"/>
      <c r="O60" s="16"/>
      <c r="P60" s="16"/>
      <c r="Q60" s="16"/>
      <c r="R60" s="180" t="s">
        <v>74</v>
      </c>
      <c r="S60" s="180"/>
      <c r="T60" s="180"/>
      <c r="U60" s="180"/>
    </row>
  </sheetData>
  <mergeCells count="89">
    <mergeCell ref="D41:O41"/>
    <mergeCell ref="T41:V41"/>
    <mergeCell ref="W41:AC41"/>
    <mergeCell ref="P21:S41"/>
    <mergeCell ref="D27:O27"/>
    <mergeCell ref="B46:O46"/>
    <mergeCell ref="R60:U60"/>
    <mergeCell ref="I48:L48"/>
    <mergeCell ref="J57:N57"/>
    <mergeCell ref="L58:P58"/>
    <mergeCell ref="C42:S42"/>
    <mergeCell ref="T42:V42"/>
    <mergeCell ref="A7:AJ7"/>
    <mergeCell ref="T53:Z53"/>
    <mergeCell ref="C9:AI9"/>
    <mergeCell ref="P10:U10"/>
    <mergeCell ref="Q53:R53"/>
    <mergeCell ref="X52:AC52"/>
    <mergeCell ref="B45:AI45"/>
    <mergeCell ref="P46:T46"/>
    <mergeCell ref="C10:N10"/>
    <mergeCell ref="G16:I16"/>
    <mergeCell ref="D33:O33"/>
    <mergeCell ref="D31:O31"/>
    <mergeCell ref="C19:C20"/>
    <mergeCell ref="W20:AC20"/>
    <mergeCell ref="T20:V20"/>
    <mergeCell ref="D22:O22"/>
    <mergeCell ref="D23:O23"/>
    <mergeCell ref="W21:AC21"/>
    <mergeCell ref="W22:AC22"/>
    <mergeCell ref="P20:S20"/>
    <mergeCell ref="D21:O21"/>
    <mergeCell ref="W23:AC23"/>
    <mergeCell ref="W24:AC24"/>
    <mergeCell ref="T21:V21"/>
    <mergeCell ref="T22:V22"/>
    <mergeCell ref="D24:O24"/>
    <mergeCell ref="T24:V24"/>
    <mergeCell ref="W28:AC28"/>
    <mergeCell ref="D26:O26"/>
    <mergeCell ref="D29:O29"/>
    <mergeCell ref="T26:V26"/>
    <mergeCell ref="D25:O25"/>
    <mergeCell ref="D32:O32"/>
    <mergeCell ref="T32:V32"/>
    <mergeCell ref="W33:AC33"/>
    <mergeCell ref="T31:V31"/>
    <mergeCell ref="U5:AF5"/>
    <mergeCell ref="P19:AC19"/>
    <mergeCell ref="D19:O20"/>
    <mergeCell ref="D30:O30"/>
    <mergeCell ref="W26:AC26"/>
    <mergeCell ref="W27:AC27"/>
    <mergeCell ref="T27:V27"/>
    <mergeCell ref="T29:V29"/>
    <mergeCell ref="T30:V30"/>
    <mergeCell ref="W30:AC30"/>
    <mergeCell ref="W25:AC25"/>
    <mergeCell ref="T25:V25"/>
    <mergeCell ref="W29:AC29"/>
    <mergeCell ref="T23:V23"/>
    <mergeCell ref="D28:O28"/>
    <mergeCell ref="T28:V28"/>
    <mergeCell ref="W42:AC42"/>
    <mergeCell ref="D35:O35"/>
    <mergeCell ref="D37:O37"/>
    <mergeCell ref="T35:V35"/>
    <mergeCell ref="W35:AC35"/>
    <mergeCell ref="T37:V37"/>
    <mergeCell ref="W37:AC37"/>
    <mergeCell ref="D36:O36"/>
    <mergeCell ref="T36:V36"/>
    <mergeCell ref="W36:AC36"/>
    <mergeCell ref="W40:AC40"/>
    <mergeCell ref="W38:AC38"/>
    <mergeCell ref="D34:O34"/>
    <mergeCell ref="D40:O40"/>
    <mergeCell ref="T40:V40"/>
    <mergeCell ref="W39:AC39"/>
    <mergeCell ref="D38:O38"/>
    <mergeCell ref="D39:O39"/>
    <mergeCell ref="T39:V39"/>
    <mergeCell ref="T38:V38"/>
    <mergeCell ref="W31:AC31"/>
    <mergeCell ref="T33:V33"/>
    <mergeCell ref="W32:AC32"/>
    <mergeCell ref="T34:V34"/>
    <mergeCell ref="W34:AC34"/>
  </mergeCells>
  <conditionalFormatting sqref="I48:L48">
    <cfRule type="cellIs" dxfId="0" priority="327" operator="lessThan">
      <formula>$Y$25</formula>
    </cfRule>
  </conditionalFormatting>
  <pageMargins left="0.23622047244094491" right="0.23622047244094491" top="0.74803149606299213" bottom="0.74803149606299213" header="0.31496062992125984" footer="0.31496062992125984"/>
  <pageSetup paperSize="9" scale="96" fitToHeight="0" orientation="portrait" r:id="rId1"/>
  <headerFooter>
    <oddFooter>&amp;L&amp;8Шаблон П-С-15 v.2.2.2 МГ</oddFoot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28" id="{87AB6B1E-0D4B-459D-866A-82705F35034D}">
            <x14:iconSet iconSet="3Symbols" custom="1">
              <x14:cfvo type="percent">
                <xm:f>0</xm:f>
              </x14:cfvo>
              <x14:cfvo type="formula">
                <xm:f>$Y$25</xm:f>
              </x14:cfvo>
              <x14:cfvo type="formula" gte="0">
                <xm:f>$Y$25</xm:f>
              </x14:cfvo>
              <x14:cfIcon iconSet="3Symbols" iconId="0"/>
              <x14:cfIcon iconSet="NoIcons" iconId="0"/>
              <x14:cfIcon iconSet="NoIcons" iconId="0"/>
            </x14:iconSet>
          </x14:cfRule>
          <xm:sqref>I48:L48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8"/>
  <sheetViews>
    <sheetView showGridLines="0" zoomScaleNormal="100" workbookViewId="0">
      <selection activeCell="C27" sqref="C27"/>
    </sheetView>
  </sheetViews>
  <sheetFormatPr defaultRowHeight="15" x14ac:dyDescent="0.25"/>
  <cols>
    <col min="1" max="1" width="16.28515625" customWidth="1"/>
    <col min="2" max="2" width="24.7109375" customWidth="1"/>
    <col min="3" max="3" width="16.5703125" customWidth="1"/>
    <col min="4" max="4" width="21" customWidth="1"/>
    <col min="5" max="5" width="9.140625" style="91"/>
    <col min="6" max="6" width="34" style="91" hidden="1" customWidth="1"/>
    <col min="7" max="7" width="11.5703125" style="91" hidden="1" customWidth="1"/>
    <col min="8" max="8" width="18" style="91" hidden="1" customWidth="1"/>
    <col min="9" max="9" width="24.5703125" style="91" hidden="1" customWidth="1"/>
    <col min="10" max="10" width="36.5703125" style="91" hidden="1" customWidth="1"/>
    <col min="11" max="11" width="22.7109375" style="91" hidden="1" customWidth="1"/>
    <col min="12" max="12" width="9.140625" style="91"/>
  </cols>
  <sheetData>
    <row r="1" spans="1:11" x14ac:dyDescent="0.25">
      <c r="A1" s="32"/>
      <c r="B1" s="32"/>
      <c r="D1" s="32"/>
    </row>
    <row r="2" spans="1:11" ht="45" x14ac:dyDescent="0.25">
      <c r="A2" s="56" t="s">
        <v>46</v>
      </c>
      <c r="B2" s="56" t="s">
        <v>47</v>
      </c>
      <c r="C2" s="56" t="s">
        <v>48</v>
      </c>
      <c r="D2" s="56" t="s">
        <v>49</v>
      </c>
    </row>
    <row r="3" spans="1:11" x14ac:dyDescent="0.25">
      <c r="A3" s="56"/>
      <c r="B3" s="56"/>
      <c r="C3" s="55"/>
      <c r="D3" s="56"/>
    </row>
    <row r="4" spans="1:11" x14ac:dyDescent="0.25">
      <c r="A4" s="56"/>
      <c r="B4" s="56"/>
      <c r="C4" s="56"/>
      <c r="D4" s="56"/>
    </row>
    <row r="5" spans="1:11" ht="45" x14ac:dyDescent="0.25">
      <c r="A5" s="56" t="s">
        <v>50</v>
      </c>
      <c r="B5" s="56" t="s">
        <v>51</v>
      </c>
      <c r="C5" s="56" t="s">
        <v>52</v>
      </c>
      <c r="D5" s="56" t="s">
        <v>53</v>
      </c>
      <c r="F5" s="91" t="s">
        <v>95</v>
      </c>
      <c r="G5" s="91" t="s">
        <v>49</v>
      </c>
      <c r="H5" s="91" t="s">
        <v>50</v>
      </c>
      <c r="I5" s="91" t="s">
        <v>51</v>
      </c>
      <c r="J5" s="91" t="s">
        <v>52</v>
      </c>
      <c r="K5" s="91" t="s">
        <v>53</v>
      </c>
    </row>
    <row r="6" spans="1:11" x14ac:dyDescent="0.25">
      <c r="A6" s="22"/>
      <c r="B6" s="23"/>
      <c r="C6" s="22"/>
      <c r="D6" s="31"/>
      <c r="F6" s="91">
        <f t="shared" ref="F6:F69" si="0">$A$3</f>
        <v>0</v>
      </c>
      <c r="G6" s="91">
        <f t="shared" ref="G6:G69" si="1">$D$3</f>
        <v>0</v>
      </c>
      <c r="H6" s="91">
        <f t="shared" ref="H6:H69" si="2">A6</f>
        <v>0</v>
      </c>
      <c r="I6" s="92">
        <f t="shared" ref="I6:I69" si="3">B6</f>
        <v>0</v>
      </c>
      <c r="J6" s="91">
        <f t="shared" ref="J6:J69" si="4">C6</f>
        <v>0</v>
      </c>
      <c r="K6" s="93">
        <f t="shared" ref="K6:K69" si="5">D6</f>
        <v>0</v>
      </c>
    </row>
    <row r="7" spans="1:11" x14ac:dyDescent="0.25">
      <c r="A7" s="22"/>
      <c r="B7" s="23"/>
      <c r="C7" s="22"/>
      <c r="D7" s="31"/>
      <c r="F7" s="91">
        <f t="shared" si="0"/>
        <v>0</v>
      </c>
      <c r="G7" s="91">
        <f t="shared" si="1"/>
        <v>0</v>
      </c>
      <c r="H7" s="91">
        <f t="shared" si="2"/>
        <v>0</v>
      </c>
      <c r="I7" s="92">
        <f t="shared" si="3"/>
        <v>0</v>
      </c>
      <c r="J7" s="91">
        <f t="shared" si="4"/>
        <v>0</v>
      </c>
      <c r="K7" s="93">
        <f t="shared" si="5"/>
        <v>0</v>
      </c>
    </row>
    <row r="8" spans="1:11" x14ac:dyDescent="0.25">
      <c r="A8" s="22"/>
      <c r="B8" s="23"/>
      <c r="C8" s="22"/>
      <c r="D8" s="31"/>
      <c r="F8" s="91">
        <f t="shared" si="0"/>
        <v>0</v>
      </c>
      <c r="G8" s="91">
        <f t="shared" si="1"/>
        <v>0</v>
      </c>
      <c r="H8" s="91">
        <f t="shared" si="2"/>
        <v>0</v>
      </c>
      <c r="I8" s="92">
        <f t="shared" si="3"/>
        <v>0</v>
      </c>
      <c r="J8" s="91">
        <f t="shared" si="4"/>
        <v>0</v>
      </c>
      <c r="K8" s="93">
        <f t="shared" si="5"/>
        <v>0</v>
      </c>
    </row>
    <row r="9" spans="1:11" x14ac:dyDescent="0.25">
      <c r="A9" s="22"/>
      <c r="B9" s="23"/>
      <c r="C9" s="22"/>
      <c r="D9" s="31"/>
      <c r="F9" s="91">
        <f t="shared" si="0"/>
        <v>0</v>
      </c>
      <c r="G9" s="91">
        <f t="shared" si="1"/>
        <v>0</v>
      </c>
      <c r="H9" s="91">
        <f t="shared" si="2"/>
        <v>0</v>
      </c>
      <c r="I9" s="92">
        <f t="shared" si="3"/>
        <v>0</v>
      </c>
      <c r="J9" s="91">
        <f t="shared" si="4"/>
        <v>0</v>
      </c>
      <c r="K9" s="93">
        <f t="shared" si="5"/>
        <v>0</v>
      </c>
    </row>
    <row r="10" spans="1:11" x14ac:dyDescent="0.25">
      <c r="A10" s="22"/>
      <c r="B10" s="23"/>
      <c r="C10" s="22"/>
      <c r="D10" s="31"/>
      <c r="F10" s="91">
        <f t="shared" si="0"/>
        <v>0</v>
      </c>
      <c r="G10" s="91">
        <f t="shared" si="1"/>
        <v>0</v>
      </c>
      <c r="H10" s="91">
        <f t="shared" si="2"/>
        <v>0</v>
      </c>
      <c r="I10" s="92">
        <f t="shared" si="3"/>
        <v>0</v>
      </c>
      <c r="J10" s="91">
        <f t="shared" si="4"/>
        <v>0</v>
      </c>
      <c r="K10" s="93">
        <f t="shared" si="5"/>
        <v>0</v>
      </c>
    </row>
    <row r="11" spans="1:11" x14ac:dyDescent="0.25">
      <c r="A11" s="22"/>
      <c r="B11" s="23"/>
      <c r="C11" s="22"/>
      <c r="D11" s="31"/>
      <c r="F11" s="91">
        <f t="shared" si="0"/>
        <v>0</v>
      </c>
      <c r="G11" s="91">
        <f t="shared" si="1"/>
        <v>0</v>
      </c>
      <c r="H11" s="91">
        <f t="shared" si="2"/>
        <v>0</v>
      </c>
      <c r="I11" s="92">
        <f t="shared" si="3"/>
        <v>0</v>
      </c>
      <c r="J11" s="91">
        <f t="shared" si="4"/>
        <v>0</v>
      </c>
      <c r="K11" s="93">
        <f t="shared" si="5"/>
        <v>0</v>
      </c>
    </row>
    <row r="12" spans="1:11" x14ac:dyDescent="0.25">
      <c r="A12" s="22"/>
      <c r="B12" s="23"/>
      <c r="C12" s="22"/>
      <c r="D12" s="31"/>
      <c r="F12" s="91">
        <f t="shared" si="0"/>
        <v>0</v>
      </c>
      <c r="G12" s="91">
        <f t="shared" si="1"/>
        <v>0</v>
      </c>
      <c r="H12" s="91">
        <f t="shared" si="2"/>
        <v>0</v>
      </c>
      <c r="I12" s="92">
        <f t="shared" si="3"/>
        <v>0</v>
      </c>
      <c r="J12" s="91">
        <f t="shared" si="4"/>
        <v>0</v>
      </c>
      <c r="K12" s="93">
        <f t="shared" si="5"/>
        <v>0</v>
      </c>
    </row>
    <row r="13" spans="1:11" x14ac:dyDescent="0.25">
      <c r="A13" s="22"/>
      <c r="B13" s="23"/>
      <c r="C13" s="22"/>
      <c r="D13" s="31"/>
      <c r="F13" s="91">
        <f t="shared" si="0"/>
        <v>0</v>
      </c>
      <c r="G13" s="91">
        <f t="shared" si="1"/>
        <v>0</v>
      </c>
      <c r="H13" s="91">
        <f t="shared" si="2"/>
        <v>0</v>
      </c>
      <c r="I13" s="92">
        <f t="shared" si="3"/>
        <v>0</v>
      </c>
      <c r="J13" s="91">
        <f t="shared" si="4"/>
        <v>0</v>
      </c>
      <c r="K13" s="93">
        <f t="shared" si="5"/>
        <v>0</v>
      </c>
    </row>
    <row r="14" spans="1:11" x14ac:dyDescent="0.25">
      <c r="A14" s="22"/>
      <c r="B14" s="23"/>
      <c r="C14" s="22"/>
      <c r="D14" s="31"/>
      <c r="F14" s="91">
        <f t="shared" si="0"/>
        <v>0</v>
      </c>
      <c r="G14" s="91">
        <f t="shared" si="1"/>
        <v>0</v>
      </c>
      <c r="H14" s="91">
        <f t="shared" si="2"/>
        <v>0</v>
      </c>
      <c r="I14" s="92">
        <f t="shared" si="3"/>
        <v>0</v>
      </c>
      <c r="J14" s="91">
        <f t="shared" si="4"/>
        <v>0</v>
      </c>
      <c r="K14" s="93">
        <f t="shared" si="5"/>
        <v>0</v>
      </c>
    </row>
    <row r="15" spans="1:11" x14ac:dyDescent="0.25">
      <c r="A15" s="22"/>
      <c r="B15" s="23"/>
      <c r="C15" s="22"/>
      <c r="D15" s="31"/>
      <c r="F15" s="91">
        <f t="shared" si="0"/>
        <v>0</v>
      </c>
      <c r="G15" s="91">
        <f t="shared" si="1"/>
        <v>0</v>
      </c>
      <c r="H15" s="91">
        <f t="shared" si="2"/>
        <v>0</v>
      </c>
      <c r="I15" s="92">
        <f t="shared" si="3"/>
        <v>0</v>
      </c>
      <c r="J15" s="91">
        <f t="shared" si="4"/>
        <v>0</v>
      </c>
      <c r="K15" s="93">
        <f t="shared" si="5"/>
        <v>0</v>
      </c>
    </row>
    <row r="16" spans="1:11" x14ac:dyDescent="0.25">
      <c r="A16" s="22"/>
      <c r="B16" s="23"/>
      <c r="C16" s="22"/>
      <c r="D16" s="31"/>
      <c r="F16" s="91">
        <f t="shared" si="0"/>
        <v>0</v>
      </c>
      <c r="G16" s="91">
        <f t="shared" si="1"/>
        <v>0</v>
      </c>
      <c r="H16" s="91">
        <f t="shared" si="2"/>
        <v>0</v>
      </c>
      <c r="I16" s="92">
        <f t="shared" si="3"/>
        <v>0</v>
      </c>
      <c r="J16" s="91">
        <f t="shared" si="4"/>
        <v>0</v>
      </c>
      <c r="K16" s="93">
        <f t="shared" si="5"/>
        <v>0</v>
      </c>
    </row>
    <row r="17" spans="1:11" x14ac:dyDescent="0.25">
      <c r="A17" s="22"/>
      <c r="B17" s="23"/>
      <c r="C17" s="22"/>
      <c r="D17" s="31"/>
      <c r="F17" s="91">
        <f t="shared" si="0"/>
        <v>0</v>
      </c>
      <c r="G17" s="91">
        <f t="shared" si="1"/>
        <v>0</v>
      </c>
      <c r="H17" s="91">
        <f t="shared" si="2"/>
        <v>0</v>
      </c>
      <c r="I17" s="92">
        <f t="shared" si="3"/>
        <v>0</v>
      </c>
      <c r="J17" s="91">
        <f t="shared" si="4"/>
        <v>0</v>
      </c>
      <c r="K17" s="93">
        <f t="shared" si="5"/>
        <v>0</v>
      </c>
    </row>
    <row r="18" spans="1:11" x14ac:dyDescent="0.25">
      <c r="A18" s="22"/>
      <c r="B18" s="23"/>
      <c r="C18" s="22"/>
      <c r="D18" s="31"/>
      <c r="F18" s="91">
        <f t="shared" si="0"/>
        <v>0</v>
      </c>
      <c r="G18" s="91">
        <f t="shared" si="1"/>
        <v>0</v>
      </c>
      <c r="H18" s="91">
        <f t="shared" si="2"/>
        <v>0</v>
      </c>
      <c r="I18" s="92">
        <f t="shared" si="3"/>
        <v>0</v>
      </c>
      <c r="J18" s="91">
        <f t="shared" si="4"/>
        <v>0</v>
      </c>
      <c r="K18" s="93">
        <f t="shared" si="5"/>
        <v>0</v>
      </c>
    </row>
    <row r="19" spans="1:11" x14ac:dyDescent="0.25">
      <c r="A19" s="22"/>
      <c r="B19" s="23"/>
      <c r="C19" s="22"/>
      <c r="D19" s="31"/>
      <c r="F19" s="91">
        <f t="shared" si="0"/>
        <v>0</v>
      </c>
      <c r="G19" s="91">
        <f t="shared" si="1"/>
        <v>0</v>
      </c>
      <c r="H19" s="91">
        <f t="shared" si="2"/>
        <v>0</v>
      </c>
      <c r="I19" s="92">
        <f t="shared" si="3"/>
        <v>0</v>
      </c>
      <c r="J19" s="91">
        <f t="shared" si="4"/>
        <v>0</v>
      </c>
      <c r="K19" s="93">
        <f t="shared" si="5"/>
        <v>0</v>
      </c>
    </row>
    <row r="20" spans="1:11" x14ac:dyDescent="0.25">
      <c r="A20" s="22"/>
      <c r="B20" s="23"/>
      <c r="C20" s="22"/>
      <c r="D20" s="31"/>
      <c r="F20" s="91">
        <f t="shared" si="0"/>
        <v>0</v>
      </c>
      <c r="G20" s="91">
        <f t="shared" si="1"/>
        <v>0</v>
      </c>
      <c r="H20" s="91">
        <f t="shared" si="2"/>
        <v>0</v>
      </c>
      <c r="I20" s="92">
        <f t="shared" si="3"/>
        <v>0</v>
      </c>
      <c r="J20" s="91">
        <f t="shared" si="4"/>
        <v>0</v>
      </c>
      <c r="K20" s="93">
        <f t="shared" si="5"/>
        <v>0</v>
      </c>
    </row>
    <row r="21" spans="1:11" x14ac:dyDescent="0.25">
      <c r="A21" s="22"/>
      <c r="B21" s="23"/>
      <c r="C21" s="22"/>
      <c r="D21" s="31"/>
      <c r="F21" s="91">
        <f t="shared" si="0"/>
        <v>0</v>
      </c>
      <c r="G21" s="91">
        <f t="shared" si="1"/>
        <v>0</v>
      </c>
      <c r="H21" s="91">
        <f t="shared" si="2"/>
        <v>0</v>
      </c>
      <c r="I21" s="92">
        <f t="shared" si="3"/>
        <v>0</v>
      </c>
      <c r="J21" s="91">
        <f t="shared" si="4"/>
        <v>0</v>
      </c>
      <c r="K21" s="93">
        <f t="shared" si="5"/>
        <v>0</v>
      </c>
    </row>
    <row r="22" spans="1:11" x14ac:dyDescent="0.25">
      <c r="A22" s="22"/>
      <c r="B22" s="23"/>
      <c r="C22" s="22"/>
      <c r="D22" s="31"/>
      <c r="F22" s="91">
        <f t="shared" si="0"/>
        <v>0</v>
      </c>
      <c r="G22" s="91">
        <f t="shared" si="1"/>
        <v>0</v>
      </c>
      <c r="H22" s="91">
        <f t="shared" si="2"/>
        <v>0</v>
      </c>
      <c r="I22" s="92">
        <f t="shared" si="3"/>
        <v>0</v>
      </c>
      <c r="J22" s="91">
        <f t="shared" si="4"/>
        <v>0</v>
      </c>
      <c r="K22" s="93">
        <f t="shared" si="5"/>
        <v>0</v>
      </c>
    </row>
    <row r="23" spans="1:11" x14ac:dyDescent="0.25">
      <c r="A23" s="22"/>
      <c r="B23" s="23"/>
      <c r="C23" s="22"/>
      <c r="D23" s="31"/>
      <c r="F23" s="91">
        <f t="shared" si="0"/>
        <v>0</v>
      </c>
      <c r="G23" s="91">
        <f t="shared" si="1"/>
        <v>0</v>
      </c>
      <c r="H23" s="91">
        <f t="shared" si="2"/>
        <v>0</v>
      </c>
      <c r="I23" s="92">
        <f t="shared" si="3"/>
        <v>0</v>
      </c>
      <c r="J23" s="91">
        <f t="shared" si="4"/>
        <v>0</v>
      </c>
      <c r="K23" s="93">
        <f t="shared" si="5"/>
        <v>0</v>
      </c>
    </row>
    <row r="24" spans="1:11" x14ac:dyDescent="0.25">
      <c r="A24" s="22"/>
      <c r="B24" s="23"/>
      <c r="C24" s="22"/>
      <c r="D24" s="31"/>
      <c r="F24" s="91">
        <f t="shared" si="0"/>
        <v>0</v>
      </c>
      <c r="G24" s="91">
        <f t="shared" si="1"/>
        <v>0</v>
      </c>
      <c r="H24" s="91">
        <f t="shared" si="2"/>
        <v>0</v>
      </c>
      <c r="I24" s="92">
        <f t="shared" si="3"/>
        <v>0</v>
      </c>
      <c r="J24" s="91">
        <f t="shared" si="4"/>
        <v>0</v>
      </c>
      <c r="K24" s="93">
        <f t="shared" si="5"/>
        <v>0</v>
      </c>
    </row>
    <row r="25" spans="1:11" x14ac:dyDescent="0.25">
      <c r="A25" s="22"/>
      <c r="B25" s="23"/>
      <c r="C25" s="22"/>
      <c r="D25" s="31"/>
      <c r="F25" s="91">
        <f t="shared" si="0"/>
        <v>0</v>
      </c>
      <c r="G25" s="91">
        <f t="shared" si="1"/>
        <v>0</v>
      </c>
      <c r="H25" s="91">
        <f t="shared" si="2"/>
        <v>0</v>
      </c>
      <c r="I25" s="92">
        <f t="shared" si="3"/>
        <v>0</v>
      </c>
      <c r="J25" s="91">
        <f t="shared" si="4"/>
        <v>0</v>
      </c>
      <c r="K25" s="93">
        <f t="shared" si="5"/>
        <v>0</v>
      </c>
    </row>
    <row r="26" spans="1:11" x14ac:dyDescent="0.25">
      <c r="A26" s="22"/>
      <c r="B26" s="23"/>
      <c r="C26" s="22"/>
      <c r="D26" s="31"/>
      <c r="F26" s="91">
        <f t="shared" si="0"/>
        <v>0</v>
      </c>
      <c r="G26" s="91">
        <f t="shared" si="1"/>
        <v>0</v>
      </c>
      <c r="H26" s="91">
        <f t="shared" si="2"/>
        <v>0</v>
      </c>
      <c r="I26" s="92">
        <f t="shared" si="3"/>
        <v>0</v>
      </c>
      <c r="J26" s="91">
        <f t="shared" si="4"/>
        <v>0</v>
      </c>
      <c r="K26" s="93">
        <f t="shared" si="5"/>
        <v>0</v>
      </c>
    </row>
    <row r="27" spans="1:11" x14ac:dyDescent="0.25">
      <c r="A27" s="22"/>
      <c r="B27" s="23"/>
      <c r="C27" s="22"/>
      <c r="D27" s="31"/>
      <c r="F27" s="91">
        <f t="shared" si="0"/>
        <v>0</v>
      </c>
      <c r="G27" s="91">
        <f t="shared" si="1"/>
        <v>0</v>
      </c>
      <c r="H27" s="91">
        <f t="shared" si="2"/>
        <v>0</v>
      </c>
      <c r="I27" s="92">
        <f t="shared" si="3"/>
        <v>0</v>
      </c>
      <c r="J27" s="91">
        <f t="shared" si="4"/>
        <v>0</v>
      </c>
      <c r="K27" s="93">
        <f t="shared" si="5"/>
        <v>0</v>
      </c>
    </row>
    <row r="28" spans="1:11" x14ac:dyDescent="0.25">
      <c r="A28" s="22"/>
      <c r="B28" s="23"/>
      <c r="C28" s="22"/>
      <c r="D28" s="31"/>
      <c r="F28" s="91">
        <f t="shared" si="0"/>
        <v>0</v>
      </c>
      <c r="G28" s="91">
        <f t="shared" si="1"/>
        <v>0</v>
      </c>
      <c r="H28" s="91">
        <f t="shared" si="2"/>
        <v>0</v>
      </c>
      <c r="I28" s="92">
        <f t="shared" si="3"/>
        <v>0</v>
      </c>
      <c r="J28" s="91">
        <f t="shared" si="4"/>
        <v>0</v>
      </c>
      <c r="K28" s="93">
        <f t="shared" si="5"/>
        <v>0</v>
      </c>
    </row>
    <row r="29" spans="1:11" x14ac:dyDescent="0.25">
      <c r="A29" s="22"/>
      <c r="B29" s="23"/>
      <c r="C29" s="22"/>
      <c r="D29" s="31"/>
      <c r="F29" s="91">
        <f t="shared" si="0"/>
        <v>0</v>
      </c>
      <c r="G29" s="91">
        <f t="shared" si="1"/>
        <v>0</v>
      </c>
      <c r="H29" s="91">
        <f t="shared" si="2"/>
        <v>0</v>
      </c>
      <c r="I29" s="92">
        <f t="shared" si="3"/>
        <v>0</v>
      </c>
      <c r="J29" s="91">
        <f t="shared" si="4"/>
        <v>0</v>
      </c>
      <c r="K29" s="93">
        <f t="shared" si="5"/>
        <v>0</v>
      </c>
    </row>
    <row r="30" spans="1:11" ht="15.75" thickBot="1" x14ac:dyDescent="0.3">
      <c r="A30" s="22"/>
      <c r="B30" s="58"/>
      <c r="C30" s="57"/>
      <c r="D30" s="59"/>
      <c r="F30" s="91">
        <f t="shared" si="0"/>
        <v>0</v>
      </c>
      <c r="G30" s="91">
        <f t="shared" si="1"/>
        <v>0</v>
      </c>
      <c r="H30" s="91">
        <f t="shared" si="2"/>
        <v>0</v>
      </c>
      <c r="I30" s="92">
        <f t="shared" si="3"/>
        <v>0</v>
      </c>
      <c r="J30" s="91">
        <f t="shared" si="4"/>
        <v>0</v>
      </c>
      <c r="K30" s="93">
        <f t="shared" si="5"/>
        <v>0</v>
      </c>
    </row>
    <row r="31" spans="1:11" x14ac:dyDescent="0.25">
      <c r="A31" s="60" t="s">
        <v>94</v>
      </c>
      <c r="B31" s="61" t="s">
        <v>86</v>
      </c>
      <c r="C31" s="68">
        <f t="shared" ref="C31:C38" si="6">SUMIF($A$6:$A$30,$B31,$C$6:$C$30)</f>
        <v>0</v>
      </c>
      <c r="D31" s="65">
        <f t="shared" ref="D31:D38" si="7">SUMIF($A$6:$A$30,$B31,$D$6:$D$30)</f>
        <v>0</v>
      </c>
      <c r="F31" s="91">
        <f t="shared" si="0"/>
        <v>0</v>
      </c>
      <c r="G31" s="91">
        <f t="shared" si="1"/>
        <v>0</v>
      </c>
      <c r="H31" s="91" t="str">
        <f t="shared" si="2"/>
        <v>Итого по:</v>
      </c>
      <c r="I31" s="92" t="str">
        <f t="shared" si="3"/>
        <v>АИ-92</v>
      </c>
      <c r="J31" s="91">
        <f t="shared" si="4"/>
        <v>0</v>
      </c>
      <c r="K31" s="93">
        <f t="shared" si="5"/>
        <v>0</v>
      </c>
    </row>
    <row r="32" spans="1:11" x14ac:dyDescent="0.25">
      <c r="A32" s="62" t="s">
        <v>94</v>
      </c>
      <c r="B32" s="54" t="s">
        <v>87</v>
      </c>
      <c r="C32" s="69">
        <f t="shared" si="6"/>
        <v>0</v>
      </c>
      <c r="D32" s="66">
        <f t="shared" si="7"/>
        <v>0</v>
      </c>
      <c r="E32" s="94"/>
      <c r="F32" s="94">
        <f t="shared" si="0"/>
        <v>0</v>
      </c>
      <c r="G32" s="94">
        <f t="shared" si="1"/>
        <v>0</v>
      </c>
      <c r="H32" s="91" t="str">
        <f t="shared" si="2"/>
        <v>Итого по:</v>
      </c>
      <c r="I32" s="92" t="str">
        <f t="shared" si="3"/>
        <v>АИ-92 Фирменное</v>
      </c>
      <c r="J32" s="91">
        <f t="shared" si="4"/>
        <v>0</v>
      </c>
      <c r="K32" s="93">
        <f t="shared" si="5"/>
        <v>0</v>
      </c>
    </row>
    <row r="33" spans="1:11" x14ac:dyDescent="0.25">
      <c r="A33" s="62" t="s">
        <v>94</v>
      </c>
      <c r="B33" s="54" t="s">
        <v>88</v>
      </c>
      <c r="C33" s="69">
        <f t="shared" si="6"/>
        <v>0</v>
      </c>
      <c r="D33" s="66">
        <f t="shared" si="7"/>
        <v>0</v>
      </c>
      <c r="F33" s="91">
        <f t="shared" si="0"/>
        <v>0</v>
      </c>
      <c r="G33" s="91">
        <f t="shared" si="1"/>
        <v>0</v>
      </c>
      <c r="H33" s="91" t="str">
        <f t="shared" si="2"/>
        <v>Итого по:</v>
      </c>
      <c r="I33" s="92" t="str">
        <f t="shared" si="3"/>
        <v>АИ-95</v>
      </c>
      <c r="J33" s="91">
        <f t="shared" si="4"/>
        <v>0</v>
      </c>
      <c r="K33" s="93">
        <f t="shared" si="5"/>
        <v>0</v>
      </c>
    </row>
    <row r="34" spans="1:11" x14ac:dyDescent="0.25">
      <c r="A34" s="62" t="s">
        <v>94</v>
      </c>
      <c r="B34" s="54" t="s">
        <v>89</v>
      </c>
      <c r="C34" s="69">
        <f t="shared" si="6"/>
        <v>0</v>
      </c>
      <c r="D34" s="66">
        <f t="shared" si="7"/>
        <v>0</v>
      </c>
      <c r="F34" s="91">
        <f t="shared" si="0"/>
        <v>0</v>
      </c>
      <c r="G34" s="91">
        <f t="shared" si="1"/>
        <v>0</v>
      </c>
      <c r="H34" s="91" t="str">
        <f t="shared" si="2"/>
        <v>Итого по:</v>
      </c>
      <c r="I34" s="92" t="str">
        <f t="shared" si="3"/>
        <v>АИ-95 Фирменное</v>
      </c>
      <c r="J34" s="91">
        <f t="shared" si="4"/>
        <v>0</v>
      </c>
      <c r="K34" s="93">
        <f t="shared" si="5"/>
        <v>0</v>
      </c>
    </row>
    <row r="35" spans="1:11" x14ac:dyDescent="0.25">
      <c r="A35" s="62" t="s">
        <v>94</v>
      </c>
      <c r="B35" s="54" t="s">
        <v>90</v>
      </c>
      <c r="C35" s="69">
        <f t="shared" si="6"/>
        <v>0</v>
      </c>
      <c r="D35" s="66">
        <f t="shared" si="7"/>
        <v>0</v>
      </c>
      <c r="F35" s="91">
        <f t="shared" si="0"/>
        <v>0</v>
      </c>
      <c r="G35" s="91">
        <f t="shared" si="1"/>
        <v>0</v>
      </c>
      <c r="H35" s="91" t="str">
        <f t="shared" si="2"/>
        <v>Итого по:</v>
      </c>
      <c r="I35" s="92" t="str">
        <f t="shared" si="3"/>
        <v>АИ-98</v>
      </c>
      <c r="J35" s="91">
        <f t="shared" si="4"/>
        <v>0</v>
      </c>
      <c r="K35" s="93">
        <f t="shared" si="5"/>
        <v>0</v>
      </c>
    </row>
    <row r="36" spans="1:11" x14ac:dyDescent="0.25">
      <c r="A36" s="62" t="s">
        <v>94</v>
      </c>
      <c r="B36" s="54" t="s">
        <v>91</v>
      </c>
      <c r="C36" s="69">
        <f t="shared" si="6"/>
        <v>0</v>
      </c>
      <c r="D36" s="66">
        <f t="shared" si="7"/>
        <v>0</v>
      </c>
      <c r="F36" s="91">
        <f t="shared" si="0"/>
        <v>0</v>
      </c>
      <c r="G36" s="91">
        <f t="shared" si="1"/>
        <v>0</v>
      </c>
      <c r="H36" s="91" t="str">
        <f t="shared" si="2"/>
        <v>Итого по:</v>
      </c>
      <c r="I36" s="92" t="str">
        <f t="shared" si="3"/>
        <v>АИ-100</v>
      </c>
      <c r="J36" s="91">
        <f t="shared" si="4"/>
        <v>0</v>
      </c>
      <c r="K36" s="93">
        <f t="shared" si="5"/>
        <v>0</v>
      </c>
    </row>
    <row r="37" spans="1:11" x14ac:dyDescent="0.25">
      <c r="A37" s="62" t="s">
        <v>94</v>
      </c>
      <c r="B37" s="54" t="s">
        <v>92</v>
      </c>
      <c r="C37" s="69">
        <f t="shared" si="6"/>
        <v>0</v>
      </c>
      <c r="D37" s="66">
        <f t="shared" si="7"/>
        <v>0</v>
      </c>
      <c r="F37" s="91">
        <f t="shared" si="0"/>
        <v>0</v>
      </c>
      <c r="G37" s="91">
        <f t="shared" si="1"/>
        <v>0</v>
      </c>
      <c r="H37" s="91" t="str">
        <f t="shared" si="2"/>
        <v>Итого по:</v>
      </c>
      <c r="I37" s="92" t="str">
        <f t="shared" si="3"/>
        <v>ДТ</v>
      </c>
      <c r="J37" s="91">
        <f t="shared" si="4"/>
        <v>0</v>
      </c>
      <c r="K37" s="93">
        <f t="shared" si="5"/>
        <v>0</v>
      </c>
    </row>
    <row r="38" spans="1:11" ht="15.75" thickBot="1" x14ac:dyDescent="0.3">
      <c r="A38" s="63" t="s">
        <v>94</v>
      </c>
      <c r="B38" s="64" t="s">
        <v>93</v>
      </c>
      <c r="C38" s="70">
        <f t="shared" si="6"/>
        <v>0</v>
      </c>
      <c r="D38" s="67">
        <f t="shared" si="7"/>
        <v>0</v>
      </c>
      <c r="F38" s="91">
        <f t="shared" si="0"/>
        <v>0</v>
      </c>
      <c r="G38" s="91">
        <f t="shared" si="1"/>
        <v>0</v>
      </c>
      <c r="H38" s="91" t="str">
        <f t="shared" si="2"/>
        <v>Итого по:</v>
      </c>
      <c r="I38" s="92" t="str">
        <f t="shared" si="3"/>
        <v>ДТ Зимнее</v>
      </c>
      <c r="J38" s="91">
        <f t="shared" si="4"/>
        <v>0</v>
      </c>
      <c r="K38" s="93">
        <f t="shared" si="5"/>
        <v>0</v>
      </c>
    </row>
    <row r="39" spans="1:11" ht="15.75" thickBot="1" x14ac:dyDescent="0.3">
      <c r="A39" s="63" t="s">
        <v>94</v>
      </c>
      <c r="B39" s="64" t="s">
        <v>159</v>
      </c>
      <c r="C39" s="70">
        <f>SUM(C6:C24)</f>
        <v>0</v>
      </c>
      <c r="D39" s="67">
        <f>SUMIF($A$6:$A$30,$B39,$D$6:$D$30)</f>
        <v>0</v>
      </c>
      <c r="F39" s="91">
        <f t="shared" si="0"/>
        <v>0</v>
      </c>
      <c r="G39" s="91">
        <f t="shared" si="1"/>
        <v>0</v>
      </c>
      <c r="H39" s="91" t="str">
        <f t="shared" si="2"/>
        <v>Итого по:</v>
      </c>
      <c r="I39" s="92" t="str">
        <f t="shared" si="3"/>
        <v>АИ-95 Фирменное, АИ-95</v>
      </c>
      <c r="J39" s="91">
        <f t="shared" si="4"/>
        <v>0</v>
      </c>
      <c r="K39" s="93">
        <f t="shared" si="5"/>
        <v>0</v>
      </c>
    </row>
    <row r="40" spans="1:11" x14ac:dyDescent="0.25">
      <c r="F40" s="91">
        <f t="shared" si="0"/>
        <v>0</v>
      </c>
      <c r="G40" s="91">
        <f t="shared" si="1"/>
        <v>0</v>
      </c>
      <c r="H40" s="91">
        <f t="shared" si="2"/>
        <v>0</v>
      </c>
      <c r="I40" s="92">
        <f t="shared" si="3"/>
        <v>0</v>
      </c>
      <c r="J40" s="91">
        <f t="shared" si="4"/>
        <v>0</v>
      </c>
      <c r="K40" s="93">
        <f t="shared" si="5"/>
        <v>0</v>
      </c>
    </row>
    <row r="41" spans="1:11" x14ac:dyDescent="0.25">
      <c r="A41" s="194" t="s">
        <v>95</v>
      </c>
      <c r="B41" s="194"/>
      <c r="C41" s="72" t="s">
        <v>96</v>
      </c>
      <c r="D41" s="71" t="s">
        <v>97</v>
      </c>
      <c r="F41" s="91">
        <f t="shared" si="0"/>
        <v>0</v>
      </c>
      <c r="G41" s="91">
        <f t="shared" si="1"/>
        <v>0</v>
      </c>
      <c r="H41" s="91" t="str">
        <f t="shared" si="2"/>
        <v>ФИО</v>
      </c>
      <c r="I41" s="92">
        <f t="shared" si="3"/>
        <v>0</v>
      </c>
      <c r="J41" s="91" t="str">
        <f t="shared" si="4"/>
        <v>_____________________</v>
      </c>
      <c r="K41" s="93" t="str">
        <f t="shared" si="5"/>
        <v>Дата :________________</v>
      </c>
    </row>
    <row r="42" spans="1:11" x14ac:dyDescent="0.25">
      <c r="F42" s="91">
        <f t="shared" si="0"/>
        <v>0</v>
      </c>
      <c r="G42" s="91">
        <f t="shared" si="1"/>
        <v>0</v>
      </c>
      <c r="H42" s="91">
        <f t="shared" si="2"/>
        <v>0</v>
      </c>
      <c r="I42" s="92">
        <f t="shared" si="3"/>
        <v>0</v>
      </c>
      <c r="J42" s="91">
        <f t="shared" si="4"/>
        <v>0</v>
      </c>
      <c r="K42" s="93">
        <f t="shared" si="5"/>
        <v>0</v>
      </c>
    </row>
    <row r="43" spans="1:11" x14ac:dyDescent="0.25">
      <c r="F43" s="91">
        <f t="shared" si="0"/>
        <v>0</v>
      </c>
      <c r="G43" s="91">
        <f t="shared" si="1"/>
        <v>0</v>
      </c>
      <c r="H43" s="91">
        <f t="shared" si="2"/>
        <v>0</v>
      </c>
      <c r="I43" s="92">
        <f t="shared" si="3"/>
        <v>0</v>
      </c>
      <c r="J43" s="91">
        <f t="shared" si="4"/>
        <v>0</v>
      </c>
      <c r="K43" s="93">
        <f t="shared" si="5"/>
        <v>0</v>
      </c>
    </row>
    <row r="44" spans="1:11" x14ac:dyDescent="0.25">
      <c r="F44" s="91">
        <f t="shared" si="0"/>
        <v>0</v>
      </c>
      <c r="G44" s="91">
        <f t="shared" si="1"/>
        <v>0</v>
      </c>
      <c r="H44" s="91">
        <f t="shared" si="2"/>
        <v>0</v>
      </c>
      <c r="I44" s="92">
        <f t="shared" si="3"/>
        <v>0</v>
      </c>
      <c r="J44" s="91">
        <f t="shared" si="4"/>
        <v>0</v>
      </c>
      <c r="K44" s="93">
        <f t="shared" si="5"/>
        <v>0</v>
      </c>
    </row>
    <row r="45" spans="1:11" x14ac:dyDescent="0.25">
      <c r="F45" s="91">
        <f t="shared" si="0"/>
        <v>0</v>
      </c>
      <c r="G45" s="91">
        <f t="shared" si="1"/>
        <v>0</v>
      </c>
      <c r="H45" s="91">
        <f t="shared" si="2"/>
        <v>0</v>
      </c>
      <c r="I45" s="92">
        <f t="shared" si="3"/>
        <v>0</v>
      </c>
      <c r="J45" s="91">
        <f t="shared" si="4"/>
        <v>0</v>
      </c>
      <c r="K45" s="93">
        <f t="shared" si="5"/>
        <v>0</v>
      </c>
    </row>
    <row r="46" spans="1:11" x14ac:dyDescent="0.25">
      <c r="F46" s="91">
        <f t="shared" si="0"/>
        <v>0</v>
      </c>
      <c r="G46" s="91">
        <f t="shared" si="1"/>
        <v>0</v>
      </c>
      <c r="H46" s="91">
        <f t="shared" si="2"/>
        <v>0</v>
      </c>
      <c r="I46" s="92">
        <f t="shared" si="3"/>
        <v>0</v>
      </c>
      <c r="J46" s="91">
        <f t="shared" si="4"/>
        <v>0</v>
      </c>
      <c r="K46" s="93">
        <f t="shared" si="5"/>
        <v>0</v>
      </c>
    </row>
    <row r="47" spans="1:11" x14ac:dyDescent="0.25">
      <c r="F47" s="91">
        <f t="shared" si="0"/>
        <v>0</v>
      </c>
      <c r="G47" s="91">
        <f t="shared" si="1"/>
        <v>0</v>
      </c>
      <c r="H47" s="91">
        <f t="shared" si="2"/>
        <v>0</v>
      </c>
      <c r="I47" s="92">
        <f t="shared" si="3"/>
        <v>0</v>
      </c>
      <c r="J47" s="91">
        <f t="shared" si="4"/>
        <v>0</v>
      </c>
      <c r="K47" s="93">
        <f t="shared" si="5"/>
        <v>0</v>
      </c>
    </row>
    <row r="48" spans="1:11" x14ac:dyDescent="0.25">
      <c r="F48" s="91">
        <f t="shared" si="0"/>
        <v>0</v>
      </c>
      <c r="G48" s="91">
        <f t="shared" si="1"/>
        <v>0</v>
      </c>
      <c r="H48" s="91">
        <f t="shared" si="2"/>
        <v>0</v>
      </c>
      <c r="I48" s="92">
        <f t="shared" si="3"/>
        <v>0</v>
      </c>
      <c r="J48" s="91">
        <f t="shared" si="4"/>
        <v>0</v>
      </c>
      <c r="K48" s="93">
        <f t="shared" si="5"/>
        <v>0</v>
      </c>
    </row>
    <row r="49" spans="6:11" x14ac:dyDescent="0.25">
      <c r="F49" s="91">
        <f t="shared" si="0"/>
        <v>0</v>
      </c>
      <c r="G49" s="91">
        <f t="shared" si="1"/>
        <v>0</v>
      </c>
      <c r="H49" s="91">
        <f t="shared" si="2"/>
        <v>0</v>
      </c>
      <c r="I49" s="92">
        <f t="shared" si="3"/>
        <v>0</v>
      </c>
      <c r="J49" s="91">
        <f t="shared" si="4"/>
        <v>0</v>
      </c>
      <c r="K49" s="93">
        <f t="shared" si="5"/>
        <v>0</v>
      </c>
    </row>
    <row r="50" spans="6:11" x14ac:dyDescent="0.25">
      <c r="F50" s="91">
        <f t="shared" si="0"/>
        <v>0</v>
      </c>
      <c r="G50" s="91">
        <f t="shared" si="1"/>
        <v>0</v>
      </c>
      <c r="H50" s="91">
        <f t="shared" si="2"/>
        <v>0</v>
      </c>
      <c r="I50" s="92">
        <f t="shared" si="3"/>
        <v>0</v>
      </c>
      <c r="J50" s="91">
        <f t="shared" si="4"/>
        <v>0</v>
      </c>
      <c r="K50" s="93">
        <f t="shared" si="5"/>
        <v>0</v>
      </c>
    </row>
    <row r="51" spans="6:11" x14ac:dyDescent="0.25">
      <c r="F51" s="91">
        <f t="shared" si="0"/>
        <v>0</v>
      </c>
      <c r="G51" s="91">
        <f t="shared" si="1"/>
        <v>0</v>
      </c>
      <c r="H51" s="91">
        <f t="shared" si="2"/>
        <v>0</v>
      </c>
      <c r="I51" s="92">
        <f t="shared" si="3"/>
        <v>0</v>
      </c>
      <c r="J51" s="91">
        <f t="shared" si="4"/>
        <v>0</v>
      </c>
      <c r="K51" s="93">
        <f t="shared" si="5"/>
        <v>0</v>
      </c>
    </row>
    <row r="52" spans="6:11" x14ac:dyDescent="0.25">
      <c r="F52" s="91">
        <f t="shared" si="0"/>
        <v>0</v>
      </c>
      <c r="G52" s="91">
        <f t="shared" si="1"/>
        <v>0</v>
      </c>
      <c r="H52" s="91">
        <f t="shared" si="2"/>
        <v>0</v>
      </c>
      <c r="I52" s="92">
        <f t="shared" si="3"/>
        <v>0</v>
      </c>
      <c r="J52" s="91">
        <f t="shared" si="4"/>
        <v>0</v>
      </c>
      <c r="K52" s="93">
        <f t="shared" si="5"/>
        <v>0</v>
      </c>
    </row>
    <row r="53" spans="6:11" x14ac:dyDescent="0.25">
      <c r="F53" s="91">
        <f t="shared" si="0"/>
        <v>0</v>
      </c>
      <c r="G53" s="91">
        <f t="shared" si="1"/>
        <v>0</v>
      </c>
      <c r="H53" s="91">
        <f t="shared" si="2"/>
        <v>0</v>
      </c>
      <c r="I53" s="92">
        <f t="shared" si="3"/>
        <v>0</v>
      </c>
      <c r="J53" s="91">
        <f t="shared" si="4"/>
        <v>0</v>
      </c>
      <c r="K53" s="93">
        <f t="shared" si="5"/>
        <v>0</v>
      </c>
    </row>
    <row r="54" spans="6:11" x14ac:dyDescent="0.25">
      <c r="F54" s="91">
        <f t="shared" si="0"/>
        <v>0</v>
      </c>
      <c r="G54" s="91">
        <f t="shared" si="1"/>
        <v>0</v>
      </c>
      <c r="H54" s="91">
        <f t="shared" si="2"/>
        <v>0</v>
      </c>
      <c r="I54" s="92">
        <f t="shared" si="3"/>
        <v>0</v>
      </c>
      <c r="J54" s="91">
        <f t="shared" si="4"/>
        <v>0</v>
      </c>
      <c r="K54" s="93">
        <f t="shared" si="5"/>
        <v>0</v>
      </c>
    </row>
    <row r="55" spans="6:11" x14ac:dyDescent="0.25">
      <c r="F55" s="91">
        <f t="shared" si="0"/>
        <v>0</v>
      </c>
      <c r="G55" s="91">
        <f t="shared" si="1"/>
        <v>0</v>
      </c>
      <c r="H55" s="91">
        <f t="shared" si="2"/>
        <v>0</v>
      </c>
      <c r="I55" s="92">
        <f t="shared" si="3"/>
        <v>0</v>
      </c>
      <c r="J55" s="91">
        <f t="shared" si="4"/>
        <v>0</v>
      </c>
      <c r="K55" s="93">
        <f t="shared" si="5"/>
        <v>0</v>
      </c>
    </row>
    <row r="56" spans="6:11" x14ac:dyDescent="0.25">
      <c r="F56" s="91">
        <f t="shared" si="0"/>
        <v>0</v>
      </c>
      <c r="G56" s="91">
        <f t="shared" si="1"/>
        <v>0</v>
      </c>
      <c r="H56" s="91">
        <f t="shared" si="2"/>
        <v>0</v>
      </c>
      <c r="I56" s="92">
        <f t="shared" si="3"/>
        <v>0</v>
      </c>
      <c r="J56" s="91">
        <f t="shared" si="4"/>
        <v>0</v>
      </c>
      <c r="K56" s="93">
        <f t="shared" si="5"/>
        <v>0</v>
      </c>
    </row>
    <row r="57" spans="6:11" x14ac:dyDescent="0.25">
      <c r="F57" s="91">
        <f t="shared" si="0"/>
        <v>0</v>
      </c>
      <c r="G57" s="91">
        <f t="shared" si="1"/>
        <v>0</v>
      </c>
      <c r="H57" s="91">
        <f t="shared" si="2"/>
        <v>0</v>
      </c>
      <c r="I57" s="92">
        <f t="shared" si="3"/>
        <v>0</v>
      </c>
      <c r="J57" s="91">
        <f t="shared" si="4"/>
        <v>0</v>
      </c>
      <c r="K57" s="93">
        <f t="shared" si="5"/>
        <v>0</v>
      </c>
    </row>
    <row r="58" spans="6:11" x14ac:dyDescent="0.25">
      <c r="F58" s="91">
        <f t="shared" si="0"/>
        <v>0</v>
      </c>
      <c r="G58" s="91">
        <f t="shared" si="1"/>
        <v>0</v>
      </c>
      <c r="H58" s="91">
        <f t="shared" si="2"/>
        <v>0</v>
      </c>
      <c r="I58" s="92">
        <f t="shared" si="3"/>
        <v>0</v>
      </c>
      <c r="J58" s="91">
        <f t="shared" si="4"/>
        <v>0</v>
      </c>
      <c r="K58" s="93">
        <f t="shared" si="5"/>
        <v>0</v>
      </c>
    </row>
    <row r="59" spans="6:11" x14ac:dyDescent="0.25">
      <c r="F59" s="91">
        <f t="shared" si="0"/>
        <v>0</v>
      </c>
      <c r="G59" s="91">
        <f t="shared" si="1"/>
        <v>0</v>
      </c>
      <c r="H59" s="91">
        <f t="shared" si="2"/>
        <v>0</v>
      </c>
      <c r="I59" s="92">
        <f t="shared" si="3"/>
        <v>0</v>
      </c>
      <c r="J59" s="91">
        <f t="shared" si="4"/>
        <v>0</v>
      </c>
      <c r="K59" s="93">
        <f t="shared" si="5"/>
        <v>0</v>
      </c>
    </row>
    <row r="60" spans="6:11" x14ac:dyDescent="0.25">
      <c r="F60" s="91">
        <f t="shared" si="0"/>
        <v>0</v>
      </c>
      <c r="G60" s="91">
        <f t="shared" si="1"/>
        <v>0</v>
      </c>
      <c r="H60" s="91">
        <f t="shared" si="2"/>
        <v>0</v>
      </c>
      <c r="I60" s="92">
        <f t="shared" si="3"/>
        <v>0</v>
      </c>
      <c r="J60" s="91">
        <f t="shared" si="4"/>
        <v>0</v>
      </c>
      <c r="K60" s="93">
        <f t="shared" si="5"/>
        <v>0</v>
      </c>
    </row>
    <row r="61" spans="6:11" x14ac:dyDescent="0.25">
      <c r="F61" s="91">
        <f t="shared" si="0"/>
        <v>0</v>
      </c>
      <c r="G61" s="91">
        <f t="shared" si="1"/>
        <v>0</v>
      </c>
      <c r="H61" s="91">
        <f t="shared" si="2"/>
        <v>0</v>
      </c>
      <c r="I61" s="92">
        <f t="shared" si="3"/>
        <v>0</v>
      </c>
      <c r="J61" s="91">
        <f t="shared" si="4"/>
        <v>0</v>
      </c>
      <c r="K61" s="93">
        <f t="shared" si="5"/>
        <v>0</v>
      </c>
    </row>
    <row r="62" spans="6:11" x14ac:dyDescent="0.25">
      <c r="F62" s="91">
        <f t="shared" si="0"/>
        <v>0</v>
      </c>
      <c r="G62" s="91">
        <f t="shared" si="1"/>
        <v>0</v>
      </c>
      <c r="H62" s="91">
        <f t="shared" si="2"/>
        <v>0</v>
      </c>
      <c r="I62" s="92">
        <f t="shared" si="3"/>
        <v>0</v>
      </c>
      <c r="J62" s="91">
        <f t="shared" si="4"/>
        <v>0</v>
      </c>
      <c r="K62" s="93">
        <f t="shared" si="5"/>
        <v>0</v>
      </c>
    </row>
    <row r="63" spans="6:11" x14ac:dyDescent="0.25">
      <c r="F63" s="91">
        <f t="shared" si="0"/>
        <v>0</v>
      </c>
      <c r="G63" s="91">
        <f t="shared" si="1"/>
        <v>0</v>
      </c>
      <c r="H63" s="91">
        <f t="shared" si="2"/>
        <v>0</v>
      </c>
      <c r="I63" s="92">
        <f t="shared" si="3"/>
        <v>0</v>
      </c>
      <c r="J63" s="91">
        <f t="shared" si="4"/>
        <v>0</v>
      </c>
      <c r="K63" s="93">
        <f t="shared" si="5"/>
        <v>0</v>
      </c>
    </row>
    <row r="64" spans="6:11" x14ac:dyDescent="0.25">
      <c r="F64" s="91">
        <f t="shared" si="0"/>
        <v>0</v>
      </c>
      <c r="G64" s="91">
        <f t="shared" si="1"/>
        <v>0</v>
      </c>
      <c r="H64" s="91">
        <f t="shared" si="2"/>
        <v>0</v>
      </c>
      <c r="I64" s="92">
        <f t="shared" si="3"/>
        <v>0</v>
      </c>
      <c r="J64" s="91">
        <f t="shared" si="4"/>
        <v>0</v>
      </c>
      <c r="K64" s="93">
        <f t="shared" si="5"/>
        <v>0</v>
      </c>
    </row>
    <row r="65" spans="6:11" x14ac:dyDescent="0.25">
      <c r="F65" s="91">
        <f t="shared" si="0"/>
        <v>0</v>
      </c>
      <c r="G65" s="91">
        <f t="shared" si="1"/>
        <v>0</v>
      </c>
      <c r="H65" s="91">
        <f t="shared" si="2"/>
        <v>0</v>
      </c>
      <c r="I65" s="92">
        <f t="shared" si="3"/>
        <v>0</v>
      </c>
      <c r="J65" s="91">
        <f t="shared" si="4"/>
        <v>0</v>
      </c>
      <c r="K65" s="93">
        <f t="shared" si="5"/>
        <v>0</v>
      </c>
    </row>
    <row r="66" spans="6:11" x14ac:dyDescent="0.25">
      <c r="F66" s="91">
        <f t="shared" si="0"/>
        <v>0</v>
      </c>
      <c r="G66" s="91">
        <f t="shared" si="1"/>
        <v>0</v>
      </c>
      <c r="H66" s="91">
        <f t="shared" si="2"/>
        <v>0</v>
      </c>
      <c r="I66" s="92">
        <f t="shared" si="3"/>
        <v>0</v>
      </c>
      <c r="J66" s="91">
        <f t="shared" si="4"/>
        <v>0</v>
      </c>
      <c r="K66" s="93">
        <f t="shared" si="5"/>
        <v>0</v>
      </c>
    </row>
    <row r="67" spans="6:11" x14ac:dyDescent="0.25">
      <c r="F67" s="91">
        <f t="shared" si="0"/>
        <v>0</v>
      </c>
      <c r="G67" s="91">
        <f t="shared" si="1"/>
        <v>0</v>
      </c>
      <c r="H67" s="91">
        <f t="shared" si="2"/>
        <v>0</v>
      </c>
      <c r="I67" s="92">
        <f t="shared" si="3"/>
        <v>0</v>
      </c>
      <c r="J67" s="91">
        <f t="shared" si="4"/>
        <v>0</v>
      </c>
      <c r="K67" s="93">
        <f t="shared" si="5"/>
        <v>0</v>
      </c>
    </row>
    <row r="68" spans="6:11" x14ac:dyDescent="0.25">
      <c r="F68" s="91">
        <f t="shared" si="0"/>
        <v>0</v>
      </c>
      <c r="G68" s="91">
        <f t="shared" si="1"/>
        <v>0</v>
      </c>
      <c r="H68" s="91">
        <f t="shared" si="2"/>
        <v>0</v>
      </c>
      <c r="I68" s="92">
        <f t="shared" si="3"/>
        <v>0</v>
      </c>
      <c r="J68" s="91">
        <f t="shared" si="4"/>
        <v>0</v>
      </c>
      <c r="K68" s="93">
        <f t="shared" si="5"/>
        <v>0</v>
      </c>
    </row>
    <row r="69" spans="6:11" x14ac:dyDescent="0.25">
      <c r="F69" s="91">
        <f t="shared" si="0"/>
        <v>0</v>
      </c>
      <c r="G69" s="91">
        <f t="shared" si="1"/>
        <v>0</v>
      </c>
      <c r="H69" s="91">
        <f t="shared" si="2"/>
        <v>0</v>
      </c>
      <c r="I69" s="92">
        <f t="shared" si="3"/>
        <v>0</v>
      </c>
      <c r="J69" s="91">
        <f t="shared" si="4"/>
        <v>0</v>
      </c>
      <c r="K69" s="93">
        <f t="shared" si="5"/>
        <v>0</v>
      </c>
    </row>
    <row r="70" spans="6:11" x14ac:dyDescent="0.25">
      <c r="F70" s="91">
        <f t="shared" ref="F70:F133" si="8">$A$3</f>
        <v>0</v>
      </c>
      <c r="G70" s="91">
        <f t="shared" ref="G70:G133" si="9">$D$3</f>
        <v>0</v>
      </c>
      <c r="H70" s="91">
        <f t="shared" ref="H70:H133" si="10">A70</f>
        <v>0</v>
      </c>
      <c r="I70" s="92">
        <f t="shared" ref="I70:I133" si="11">B70</f>
        <v>0</v>
      </c>
      <c r="J70" s="91">
        <f t="shared" ref="J70:J133" si="12">C70</f>
        <v>0</v>
      </c>
      <c r="K70" s="93">
        <f t="shared" ref="K70:K133" si="13">D70</f>
        <v>0</v>
      </c>
    </row>
    <row r="71" spans="6:11" x14ac:dyDescent="0.25">
      <c r="F71" s="91">
        <f t="shared" si="8"/>
        <v>0</v>
      </c>
      <c r="G71" s="91">
        <f t="shared" si="9"/>
        <v>0</v>
      </c>
      <c r="H71" s="91">
        <f t="shared" si="10"/>
        <v>0</v>
      </c>
      <c r="I71" s="92">
        <f t="shared" si="11"/>
        <v>0</v>
      </c>
      <c r="J71" s="91">
        <f t="shared" si="12"/>
        <v>0</v>
      </c>
      <c r="K71" s="93">
        <f t="shared" si="13"/>
        <v>0</v>
      </c>
    </row>
    <row r="72" spans="6:11" x14ac:dyDescent="0.25">
      <c r="F72" s="91">
        <f t="shared" si="8"/>
        <v>0</v>
      </c>
      <c r="G72" s="91">
        <f t="shared" si="9"/>
        <v>0</v>
      </c>
      <c r="H72" s="91">
        <f t="shared" si="10"/>
        <v>0</v>
      </c>
      <c r="I72" s="92">
        <f t="shared" si="11"/>
        <v>0</v>
      </c>
      <c r="J72" s="91">
        <f t="shared" si="12"/>
        <v>0</v>
      </c>
      <c r="K72" s="93">
        <f t="shared" si="13"/>
        <v>0</v>
      </c>
    </row>
    <row r="73" spans="6:11" x14ac:dyDescent="0.25">
      <c r="F73" s="91">
        <f t="shared" si="8"/>
        <v>0</v>
      </c>
      <c r="G73" s="91">
        <f t="shared" si="9"/>
        <v>0</v>
      </c>
      <c r="H73" s="91">
        <f t="shared" si="10"/>
        <v>0</v>
      </c>
      <c r="I73" s="92">
        <f t="shared" si="11"/>
        <v>0</v>
      </c>
      <c r="J73" s="91">
        <f t="shared" si="12"/>
        <v>0</v>
      </c>
      <c r="K73" s="93">
        <f t="shared" si="13"/>
        <v>0</v>
      </c>
    </row>
    <row r="74" spans="6:11" x14ac:dyDescent="0.25">
      <c r="F74" s="91">
        <f t="shared" si="8"/>
        <v>0</v>
      </c>
      <c r="G74" s="91">
        <f t="shared" si="9"/>
        <v>0</v>
      </c>
      <c r="H74" s="91">
        <f t="shared" si="10"/>
        <v>0</v>
      </c>
      <c r="I74" s="92">
        <f t="shared" si="11"/>
        <v>0</v>
      </c>
      <c r="J74" s="91">
        <f t="shared" si="12"/>
        <v>0</v>
      </c>
      <c r="K74" s="93">
        <f t="shared" si="13"/>
        <v>0</v>
      </c>
    </row>
    <row r="75" spans="6:11" x14ac:dyDescent="0.25">
      <c r="F75" s="91">
        <f t="shared" si="8"/>
        <v>0</v>
      </c>
      <c r="G75" s="91">
        <f t="shared" si="9"/>
        <v>0</v>
      </c>
      <c r="H75" s="91">
        <f t="shared" si="10"/>
        <v>0</v>
      </c>
      <c r="I75" s="92">
        <f t="shared" si="11"/>
        <v>0</v>
      </c>
      <c r="J75" s="91">
        <f t="shared" si="12"/>
        <v>0</v>
      </c>
      <c r="K75" s="93">
        <f t="shared" si="13"/>
        <v>0</v>
      </c>
    </row>
    <row r="76" spans="6:11" x14ac:dyDescent="0.25">
      <c r="F76" s="91">
        <f t="shared" si="8"/>
        <v>0</v>
      </c>
      <c r="G76" s="91">
        <f t="shared" si="9"/>
        <v>0</v>
      </c>
      <c r="H76" s="91">
        <f t="shared" si="10"/>
        <v>0</v>
      </c>
      <c r="I76" s="92">
        <f t="shared" si="11"/>
        <v>0</v>
      </c>
      <c r="J76" s="91">
        <f t="shared" si="12"/>
        <v>0</v>
      </c>
      <c r="K76" s="93">
        <f t="shared" si="13"/>
        <v>0</v>
      </c>
    </row>
    <row r="77" spans="6:11" x14ac:dyDescent="0.25">
      <c r="F77" s="91">
        <f t="shared" si="8"/>
        <v>0</v>
      </c>
      <c r="G77" s="91">
        <f t="shared" si="9"/>
        <v>0</v>
      </c>
      <c r="H77" s="91">
        <f t="shared" si="10"/>
        <v>0</v>
      </c>
      <c r="I77" s="92">
        <f t="shared" si="11"/>
        <v>0</v>
      </c>
      <c r="J77" s="91">
        <f t="shared" si="12"/>
        <v>0</v>
      </c>
      <c r="K77" s="93">
        <f t="shared" si="13"/>
        <v>0</v>
      </c>
    </row>
    <row r="78" spans="6:11" x14ac:dyDescent="0.25">
      <c r="F78" s="91">
        <f t="shared" si="8"/>
        <v>0</v>
      </c>
      <c r="G78" s="91">
        <f t="shared" si="9"/>
        <v>0</v>
      </c>
      <c r="H78" s="91">
        <f t="shared" si="10"/>
        <v>0</v>
      </c>
      <c r="I78" s="92">
        <f t="shared" si="11"/>
        <v>0</v>
      </c>
      <c r="J78" s="91">
        <f t="shared" si="12"/>
        <v>0</v>
      </c>
      <c r="K78" s="93">
        <f t="shared" si="13"/>
        <v>0</v>
      </c>
    </row>
    <row r="79" spans="6:11" x14ac:dyDescent="0.25">
      <c r="F79" s="91">
        <f t="shared" si="8"/>
        <v>0</v>
      </c>
      <c r="G79" s="91">
        <f t="shared" si="9"/>
        <v>0</v>
      </c>
      <c r="H79" s="91">
        <f t="shared" si="10"/>
        <v>0</v>
      </c>
      <c r="I79" s="92">
        <f t="shared" si="11"/>
        <v>0</v>
      </c>
      <c r="J79" s="91">
        <f t="shared" si="12"/>
        <v>0</v>
      </c>
      <c r="K79" s="93">
        <f t="shared" si="13"/>
        <v>0</v>
      </c>
    </row>
    <row r="80" spans="6:11" x14ac:dyDescent="0.25">
      <c r="F80" s="91">
        <f t="shared" si="8"/>
        <v>0</v>
      </c>
      <c r="G80" s="91">
        <f t="shared" si="9"/>
        <v>0</v>
      </c>
      <c r="H80" s="91">
        <f t="shared" si="10"/>
        <v>0</v>
      </c>
      <c r="I80" s="92">
        <f t="shared" si="11"/>
        <v>0</v>
      </c>
      <c r="J80" s="91">
        <f t="shared" si="12"/>
        <v>0</v>
      </c>
      <c r="K80" s="93">
        <f t="shared" si="13"/>
        <v>0</v>
      </c>
    </row>
    <row r="81" spans="6:11" x14ac:dyDescent="0.25">
      <c r="F81" s="91">
        <f t="shared" si="8"/>
        <v>0</v>
      </c>
      <c r="G81" s="91">
        <f t="shared" si="9"/>
        <v>0</v>
      </c>
      <c r="H81" s="91">
        <f t="shared" si="10"/>
        <v>0</v>
      </c>
      <c r="I81" s="92">
        <f t="shared" si="11"/>
        <v>0</v>
      </c>
      <c r="J81" s="91">
        <f t="shared" si="12"/>
        <v>0</v>
      </c>
      <c r="K81" s="93">
        <f t="shared" si="13"/>
        <v>0</v>
      </c>
    </row>
    <row r="82" spans="6:11" x14ac:dyDescent="0.25">
      <c r="F82" s="91">
        <f t="shared" si="8"/>
        <v>0</v>
      </c>
      <c r="G82" s="91">
        <f t="shared" si="9"/>
        <v>0</v>
      </c>
      <c r="H82" s="91">
        <f t="shared" si="10"/>
        <v>0</v>
      </c>
      <c r="I82" s="92">
        <f t="shared" si="11"/>
        <v>0</v>
      </c>
      <c r="J82" s="91">
        <f t="shared" si="12"/>
        <v>0</v>
      </c>
      <c r="K82" s="93">
        <f t="shared" si="13"/>
        <v>0</v>
      </c>
    </row>
    <row r="83" spans="6:11" x14ac:dyDescent="0.25">
      <c r="F83" s="91">
        <f t="shared" si="8"/>
        <v>0</v>
      </c>
      <c r="G83" s="91">
        <f t="shared" si="9"/>
        <v>0</v>
      </c>
      <c r="H83" s="91">
        <f t="shared" si="10"/>
        <v>0</v>
      </c>
      <c r="I83" s="92">
        <f t="shared" si="11"/>
        <v>0</v>
      </c>
      <c r="J83" s="91">
        <f t="shared" si="12"/>
        <v>0</v>
      </c>
      <c r="K83" s="93">
        <f t="shared" si="13"/>
        <v>0</v>
      </c>
    </row>
    <row r="84" spans="6:11" x14ac:dyDescent="0.25">
      <c r="F84" s="91">
        <f t="shared" si="8"/>
        <v>0</v>
      </c>
      <c r="G84" s="91">
        <f t="shared" si="9"/>
        <v>0</v>
      </c>
      <c r="H84" s="91">
        <f t="shared" si="10"/>
        <v>0</v>
      </c>
      <c r="I84" s="92">
        <f t="shared" si="11"/>
        <v>0</v>
      </c>
      <c r="J84" s="91">
        <f t="shared" si="12"/>
        <v>0</v>
      </c>
      <c r="K84" s="93">
        <f t="shared" si="13"/>
        <v>0</v>
      </c>
    </row>
    <row r="85" spans="6:11" x14ac:dyDescent="0.25">
      <c r="F85" s="91">
        <f t="shared" si="8"/>
        <v>0</v>
      </c>
      <c r="G85" s="91">
        <f t="shared" si="9"/>
        <v>0</v>
      </c>
      <c r="H85" s="91">
        <f t="shared" si="10"/>
        <v>0</v>
      </c>
      <c r="I85" s="92">
        <f t="shared" si="11"/>
        <v>0</v>
      </c>
      <c r="J85" s="91">
        <f t="shared" si="12"/>
        <v>0</v>
      </c>
      <c r="K85" s="93">
        <f t="shared" si="13"/>
        <v>0</v>
      </c>
    </row>
    <row r="86" spans="6:11" x14ac:dyDescent="0.25">
      <c r="F86" s="91">
        <f t="shared" si="8"/>
        <v>0</v>
      </c>
      <c r="G86" s="91">
        <f t="shared" si="9"/>
        <v>0</v>
      </c>
      <c r="H86" s="91">
        <f t="shared" si="10"/>
        <v>0</v>
      </c>
      <c r="I86" s="92">
        <f t="shared" si="11"/>
        <v>0</v>
      </c>
      <c r="J86" s="91">
        <f t="shared" si="12"/>
        <v>0</v>
      </c>
      <c r="K86" s="93">
        <f t="shared" si="13"/>
        <v>0</v>
      </c>
    </row>
    <row r="87" spans="6:11" x14ac:dyDescent="0.25">
      <c r="F87" s="91">
        <f t="shared" si="8"/>
        <v>0</v>
      </c>
      <c r="G87" s="91">
        <f t="shared" si="9"/>
        <v>0</v>
      </c>
      <c r="H87" s="91">
        <f t="shared" si="10"/>
        <v>0</v>
      </c>
      <c r="I87" s="92">
        <f t="shared" si="11"/>
        <v>0</v>
      </c>
      <c r="J87" s="91">
        <f t="shared" si="12"/>
        <v>0</v>
      </c>
      <c r="K87" s="93">
        <f t="shared" si="13"/>
        <v>0</v>
      </c>
    </row>
    <row r="88" spans="6:11" x14ac:dyDescent="0.25">
      <c r="F88" s="91">
        <f t="shared" si="8"/>
        <v>0</v>
      </c>
      <c r="G88" s="91">
        <f t="shared" si="9"/>
        <v>0</v>
      </c>
      <c r="H88" s="91">
        <f t="shared" si="10"/>
        <v>0</v>
      </c>
      <c r="I88" s="92">
        <f t="shared" si="11"/>
        <v>0</v>
      </c>
      <c r="J88" s="91">
        <f t="shared" si="12"/>
        <v>0</v>
      </c>
      <c r="K88" s="93">
        <f t="shared" si="13"/>
        <v>0</v>
      </c>
    </row>
    <row r="89" spans="6:11" x14ac:dyDescent="0.25">
      <c r="F89" s="91">
        <f t="shared" si="8"/>
        <v>0</v>
      </c>
      <c r="G89" s="91">
        <f t="shared" si="9"/>
        <v>0</v>
      </c>
      <c r="H89" s="91">
        <f t="shared" si="10"/>
        <v>0</v>
      </c>
      <c r="I89" s="92">
        <f t="shared" si="11"/>
        <v>0</v>
      </c>
      <c r="J89" s="91">
        <f t="shared" si="12"/>
        <v>0</v>
      </c>
      <c r="K89" s="93">
        <f t="shared" si="13"/>
        <v>0</v>
      </c>
    </row>
    <row r="90" spans="6:11" x14ac:dyDescent="0.25">
      <c r="F90" s="91">
        <f t="shared" si="8"/>
        <v>0</v>
      </c>
      <c r="G90" s="91">
        <f t="shared" si="9"/>
        <v>0</v>
      </c>
      <c r="H90" s="91">
        <f t="shared" si="10"/>
        <v>0</v>
      </c>
      <c r="I90" s="92">
        <f t="shared" si="11"/>
        <v>0</v>
      </c>
      <c r="J90" s="91">
        <f t="shared" si="12"/>
        <v>0</v>
      </c>
      <c r="K90" s="93">
        <f t="shared" si="13"/>
        <v>0</v>
      </c>
    </row>
    <row r="91" spans="6:11" x14ac:dyDescent="0.25">
      <c r="F91" s="91">
        <f t="shared" si="8"/>
        <v>0</v>
      </c>
      <c r="G91" s="91">
        <f t="shared" si="9"/>
        <v>0</v>
      </c>
      <c r="H91" s="91">
        <f t="shared" si="10"/>
        <v>0</v>
      </c>
      <c r="I91" s="92">
        <f t="shared" si="11"/>
        <v>0</v>
      </c>
      <c r="J91" s="91">
        <f t="shared" si="12"/>
        <v>0</v>
      </c>
      <c r="K91" s="93">
        <f t="shared" si="13"/>
        <v>0</v>
      </c>
    </row>
    <row r="92" spans="6:11" x14ac:dyDescent="0.25">
      <c r="F92" s="91">
        <f t="shared" si="8"/>
        <v>0</v>
      </c>
      <c r="G92" s="91">
        <f t="shared" si="9"/>
        <v>0</v>
      </c>
      <c r="H92" s="91">
        <f t="shared" si="10"/>
        <v>0</v>
      </c>
      <c r="I92" s="92">
        <f t="shared" si="11"/>
        <v>0</v>
      </c>
      <c r="J92" s="91">
        <f t="shared" si="12"/>
        <v>0</v>
      </c>
      <c r="K92" s="93">
        <f t="shared" si="13"/>
        <v>0</v>
      </c>
    </row>
    <row r="93" spans="6:11" x14ac:dyDescent="0.25">
      <c r="F93" s="91">
        <f t="shared" si="8"/>
        <v>0</v>
      </c>
      <c r="G93" s="91">
        <f t="shared" si="9"/>
        <v>0</v>
      </c>
      <c r="H93" s="91">
        <f t="shared" si="10"/>
        <v>0</v>
      </c>
      <c r="I93" s="92">
        <f t="shared" si="11"/>
        <v>0</v>
      </c>
      <c r="J93" s="91">
        <f t="shared" si="12"/>
        <v>0</v>
      </c>
      <c r="K93" s="93">
        <f t="shared" si="13"/>
        <v>0</v>
      </c>
    </row>
    <row r="94" spans="6:11" x14ac:dyDescent="0.25">
      <c r="F94" s="91">
        <f t="shared" si="8"/>
        <v>0</v>
      </c>
      <c r="G94" s="91">
        <f t="shared" si="9"/>
        <v>0</v>
      </c>
      <c r="H94" s="91">
        <f t="shared" si="10"/>
        <v>0</v>
      </c>
      <c r="I94" s="92">
        <f t="shared" si="11"/>
        <v>0</v>
      </c>
      <c r="J94" s="91">
        <f t="shared" si="12"/>
        <v>0</v>
      </c>
      <c r="K94" s="93">
        <f t="shared" si="13"/>
        <v>0</v>
      </c>
    </row>
    <row r="95" spans="6:11" x14ac:dyDescent="0.25">
      <c r="F95" s="91">
        <f t="shared" si="8"/>
        <v>0</v>
      </c>
      <c r="G95" s="91">
        <f t="shared" si="9"/>
        <v>0</v>
      </c>
      <c r="H95" s="91">
        <f t="shared" si="10"/>
        <v>0</v>
      </c>
      <c r="I95" s="92">
        <f t="shared" si="11"/>
        <v>0</v>
      </c>
      <c r="J95" s="91">
        <f t="shared" si="12"/>
        <v>0</v>
      </c>
      <c r="K95" s="93">
        <f t="shared" si="13"/>
        <v>0</v>
      </c>
    </row>
    <row r="96" spans="6:11" x14ac:dyDescent="0.25">
      <c r="F96" s="91">
        <f t="shared" si="8"/>
        <v>0</v>
      </c>
      <c r="G96" s="91">
        <f t="shared" si="9"/>
        <v>0</v>
      </c>
      <c r="H96" s="91">
        <f t="shared" si="10"/>
        <v>0</v>
      </c>
      <c r="I96" s="92">
        <f t="shared" si="11"/>
        <v>0</v>
      </c>
      <c r="J96" s="91">
        <f t="shared" si="12"/>
        <v>0</v>
      </c>
      <c r="K96" s="93">
        <f t="shared" si="13"/>
        <v>0</v>
      </c>
    </row>
    <row r="97" spans="6:11" x14ac:dyDescent="0.25">
      <c r="F97" s="91">
        <f t="shared" si="8"/>
        <v>0</v>
      </c>
      <c r="G97" s="91">
        <f t="shared" si="9"/>
        <v>0</v>
      </c>
      <c r="H97" s="91">
        <f t="shared" si="10"/>
        <v>0</v>
      </c>
      <c r="I97" s="92">
        <f t="shared" si="11"/>
        <v>0</v>
      </c>
      <c r="J97" s="91">
        <f t="shared" si="12"/>
        <v>0</v>
      </c>
      <c r="K97" s="93">
        <f t="shared" si="13"/>
        <v>0</v>
      </c>
    </row>
    <row r="98" spans="6:11" x14ac:dyDescent="0.25">
      <c r="F98" s="91">
        <f t="shared" si="8"/>
        <v>0</v>
      </c>
      <c r="G98" s="91">
        <f t="shared" si="9"/>
        <v>0</v>
      </c>
      <c r="H98" s="91">
        <f t="shared" si="10"/>
        <v>0</v>
      </c>
      <c r="I98" s="92">
        <f t="shared" si="11"/>
        <v>0</v>
      </c>
      <c r="J98" s="91">
        <f t="shared" si="12"/>
        <v>0</v>
      </c>
      <c r="K98" s="93">
        <f t="shared" si="13"/>
        <v>0</v>
      </c>
    </row>
    <row r="99" spans="6:11" x14ac:dyDescent="0.25">
      <c r="F99" s="91">
        <f t="shared" si="8"/>
        <v>0</v>
      </c>
      <c r="G99" s="91">
        <f t="shared" si="9"/>
        <v>0</v>
      </c>
      <c r="H99" s="91">
        <f t="shared" si="10"/>
        <v>0</v>
      </c>
      <c r="I99" s="92">
        <f t="shared" si="11"/>
        <v>0</v>
      </c>
      <c r="J99" s="91">
        <f t="shared" si="12"/>
        <v>0</v>
      </c>
      <c r="K99" s="93">
        <f t="shared" si="13"/>
        <v>0</v>
      </c>
    </row>
    <row r="100" spans="6:11" x14ac:dyDescent="0.25">
      <c r="F100" s="91">
        <f t="shared" si="8"/>
        <v>0</v>
      </c>
      <c r="G100" s="91">
        <f t="shared" si="9"/>
        <v>0</v>
      </c>
      <c r="H100" s="91">
        <f t="shared" si="10"/>
        <v>0</v>
      </c>
      <c r="I100" s="92">
        <f t="shared" si="11"/>
        <v>0</v>
      </c>
      <c r="J100" s="91">
        <f t="shared" si="12"/>
        <v>0</v>
      </c>
      <c r="K100" s="93">
        <f t="shared" si="13"/>
        <v>0</v>
      </c>
    </row>
    <row r="101" spans="6:11" x14ac:dyDescent="0.25">
      <c r="F101" s="91">
        <f t="shared" si="8"/>
        <v>0</v>
      </c>
      <c r="G101" s="91">
        <f t="shared" si="9"/>
        <v>0</v>
      </c>
      <c r="H101" s="91">
        <f t="shared" si="10"/>
        <v>0</v>
      </c>
      <c r="I101" s="92">
        <f t="shared" si="11"/>
        <v>0</v>
      </c>
      <c r="J101" s="91">
        <f t="shared" si="12"/>
        <v>0</v>
      </c>
      <c r="K101" s="93">
        <f t="shared" si="13"/>
        <v>0</v>
      </c>
    </row>
    <row r="102" spans="6:11" x14ac:dyDescent="0.25">
      <c r="F102" s="91">
        <f t="shared" si="8"/>
        <v>0</v>
      </c>
      <c r="G102" s="91">
        <f t="shared" si="9"/>
        <v>0</v>
      </c>
      <c r="H102" s="91">
        <f t="shared" si="10"/>
        <v>0</v>
      </c>
      <c r="I102" s="92">
        <f t="shared" si="11"/>
        <v>0</v>
      </c>
      <c r="J102" s="91">
        <f t="shared" si="12"/>
        <v>0</v>
      </c>
      <c r="K102" s="93">
        <f t="shared" si="13"/>
        <v>0</v>
      </c>
    </row>
    <row r="103" spans="6:11" x14ac:dyDescent="0.25">
      <c r="F103" s="91">
        <f t="shared" si="8"/>
        <v>0</v>
      </c>
      <c r="G103" s="91">
        <f t="shared" si="9"/>
        <v>0</v>
      </c>
      <c r="H103" s="91">
        <f t="shared" si="10"/>
        <v>0</v>
      </c>
      <c r="I103" s="92">
        <f t="shared" si="11"/>
        <v>0</v>
      </c>
      <c r="J103" s="91">
        <f t="shared" si="12"/>
        <v>0</v>
      </c>
      <c r="K103" s="93">
        <f t="shared" si="13"/>
        <v>0</v>
      </c>
    </row>
    <row r="104" spans="6:11" x14ac:dyDescent="0.25">
      <c r="F104" s="91">
        <f t="shared" si="8"/>
        <v>0</v>
      </c>
      <c r="G104" s="91">
        <f t="shared" si="9"/>
        <v>0</v>
      </c>
      <c r="H104" s="91">
        <f t="shared" si="10"/>
        <v>0</v>
      </c>
      <c r="I104" s="92">
        <f t="shared" si="11"/>
        <v>0</v>
      </c>
      <c r="J104" s="91">
        <f t="shared" si="12"/>
        <v>0</v>
      </c>
      <c r="K104" s="93">
        <f t="shared" si="13"/>
        <v>0</v>
      </c>
    </row>
    <row r="105" spans="6:11" x14ac:dyDescent="0.25">
      <c r="F105" s="91">
        <f t="shared" si="8"/>
        <v>0</v>
      </c>
      <c r="G105" s="91">
        <f t="shared" si="9"/>
        <v>0</v>
      </c>
      <c r="H105" s="91">
        <f t="shared" si="10"/>
        <v>0</v>
      </c>
      <c r="I105" s="92">
        <f t="shared" si="11"/>
        <v>0</v>
      </c>
      <c r="J105" s="91">
        <f t="shared" si="12"/>
        <v>0</v>
      </c>
      <c r="K105" s="93">
        <f t="shared" si="13"/>
        <v>0</v>
      </c>
    </row>
    <row r="106" spans="6:11" x14ac:dyDescent="0.25">
      <c r="F106" s="91">
        <f t="shared" si="8"/>
        <v>0</v>
      </c>
      <c r="G106" s="91">
        <f t="shared" si="9"/>
        <v>0</v>
      </c>
      <c r="H106" s="91">
        <f t="shared" si="10"/>
        <v>0</v>
      </c>
      <c r="I106" s="92">
        <f t="shared" si="11"/>
        <v>0</v>
      </c>
      <c r="J106" s="91">
        <f t="shared" si="12"/>
        <v>0</v>
      </c>
      <c r="K106" s="93">
        <f t="shared" si="13"/>
        <v>0</v>
      </c>
    </row>
    <row r="107" spans="6:11" x14ac:dyDescent="0.25">
      <c r="F107" s="91">
        <f t="shared" si="8"/>
        <v>0</v>
      </c>
      <c r="G107" s="91">
        <f t="shared" si="9"/>
        <v>0</v>
      </c>
      <c r="H107" s="91">
        <f t="shared" si="10"/>
        <v>0</v>
      </c>
      <c r="I107" s="92">
        <f t="shared" si="11"/>
        <v>0</v>
      </c>
      <c r="J107" s="91">
        <f t="shared" si="12"/>
        <v>0</v>
      </c>
      <c r="K107" s="93">
        <f t="shared" si="13"/>
        <v>0</v>
      </c>
    </row>
    <row r="108" spans="6:11" x14ac:dyDescent="0.25">
      <c r="F108" s="91">
        <f t="shared" si="8"/>
        <v>0</v>
      </c>
      <c r="G108" s="91">
        <f t="shared" si="9"/>
        <v>0</v>
      </c>
      <c r="H108" s="91">
        <f t="shared" si="10"/>
        <v>0</v>
      </c>
      <c r="I108" s="92">
        <f t="shared" si="11"/>
        <v>0</v>
      </c>
      <c r="J108" s="91">
        <f t="shared" si="12"/>
        <v>0</v>
      </c>
      <c r="K108" s="93">
        <f t="shared" si="13"/>
        <v>0</v>
      </c>
    </row>
    <row r="109" spans="6:11" x14ac:dyDescent="0.25">
      <c r="F109" s="91">
        <f t="shared" si="8"/>
        <v>0</v>
      </c>
      <c r="G109" s="91">
        <f t="shared" si="9"/>
        <v>0</v>
      </c>
      <c r="H109" s="91">
        <f t="shared" si="10"/>
        <v>0</v>
      </c>
      <c r="I109" s="92">
        <f t="shared" si="11"/>
        <v>0</v>
      </c>
      <c r="J109" s="91">
        <f t="shared" si="12"/>
        <v>0</v>
      </c>
      <c r="K109" s="93">
        <f t="shared" si="13"/>
        <v>0</v>
      </c>
    </row>
    <row r="110" spans="6:11" x14ac:dyDescent="0.25">
      <c r="F110" s="91">
        <f t="shared" si="8"/>
        <v>0</v>
      </c>
      <c r="G110" s="91">
        <f t="shared" si="9"/>
        <v>0</v>
      </c>
      <c r="H110" s="91">
        <f t="shared" si="10"/>
        <v>0</v>
      </c>
      <c r="I110" s="92">
        <f t="shared" si="11"/>
        <v>0</v>
      </c>
      <c r="J110" s="91">
        <f t="shared" si="12"/>
        <v>0</v>
      </c>
      <c r="K110" s="93">
        <f t="shared" si="13"/>
        <v>0</v>
      </c>
    </row>
    <row r="111" spans="6:11" x14ac:dyDescent="0.25">
      <c r="F111" s="91">
        <f t="shared" si="8"/>
        <v>0</v>
      </c>
      <c r="G111" s="91">
        <f t="shared" si="9"/>
        <v>0</v>
      </c>
      <c r="H111" s="91">
        <f t="shared" si="10"/>
        <v>0</v>
      </c>
      <c r="I111" s="92">
        <f t="shared" si="11"/>
        <v>0</v>
      </c>
      <c r="J111" s="91">
        <f t="shared" si="12"/>
        <v>0</v>
      </c>
      <c r="K111" s="93">
        <f t="shared" si="13"/>
        <v>0</v>
      </c>
    </row>
    <row r="112" spans="6:11" x14ac:dyDescent="0.25">
      <c r="F112" s="91">
        <f t="shared" si="8"/>
        <v>0</v>
      </c>
      <c r="G112" s="91">
        <f t="shared" si="9"/>
        <v>0</v>
      </c>
      <c r="H112" s="91">
        <f t="shared" si="10"/>
        <v>0</v>
      </c>
      <c r="I112" s="92">
        <f t="shared" si="11"/>
        <v>0</v>
      </c>
      <c r="J112" s="91">
        <f t="shared" si="12"/>
        <v>0</v>
      </c>
      <c r="K112" s="93">
        <f t="shared" si="13"/>
        <v>0</v>
      </c>
    </row>
    <row r="113" spans="6:11" x14ac:dyDescent="0.25">
      <c r="F113" s="91">
        <f t="shared" si="8"/>
        <v>0</v>
      </c>
      <c r="G113" s="91">
        <f t="shared" si="9"/>
        <v>0</v>
      </c>
      <c r="H113" s="91">
        <f t="shared" si="10"/>
        <v>0</v>
      </c>
      <c r="I113" s="92">
        <f t="shared" si="11"/>
        <v>0</v>
      </c>
      <c r="J113" s="91">
        <f t="shared" si="12"/>
        <v>0</v>
      </c>
      <c r="K113" s="93">
        <f t="shared" si="13"/>
        <v>0</v>
      </c>
    </row>
    <row r="114" spans="6:11" x14ac:dyDescent="0.25">
      <c r="F114" s="91">
        <f t="shared" si="8"/>
        <v>0</v>
      </c>
      <c r="G114" s="91">
        <f t="shared" si="9"/>
        <v>0</v>
      </c>
      <c r="H114" s="91">
        <f t="shared" si="10"/>
        <v>0</v>
      </c>
      <c r="I114" s="92">
        <f t="shared" si="11"/>
        <v>0</v>
      </c>
      <c r="J114" s="91">
        <f t="shared" si="12"/>
        <v>0</v>
      </c>
      <c r="K114" s="93">
        <f t="shared" si="13"/>
        <v>0</v>
      </c>
    </row>
    <row r="115" spans="6:11" x14ac:dyDescent="0.25">
      <c r="F115" s="91">
        <f t="shared" si="8"/>
        <v>0</v>
      </c>
      <c r="G115" s="91">
        <f t="shared" si="9"/>
        <v>0</v>
      </c>
      <c r="H115" s="91">
        <f t="shared" si="10"/>
        <v>0</v>
      </c>
      <c r="I115" s="92">
        <f t="shared" si="11"/>
        <v>0</v>
      </c>
      <c r="J115" s="91">
        <f t="shared" si="12"/>
        <v>0</v>
      </c>
      <c r="K115" s="93">
        <f t="shared" si="13"/>
        <v>0</v>
      </c>
    </row>
    <row r="116" spans="6:11" x14ac:dyDescent="0.25">
      <c r="F116" s="91">
        <f t="shared" si="8"/>
        <v>0</v>
      </c>
      <c r="G116" s="91">
        <f t="shared" si="9"/>
        <v>0</v>
      </c>
      <c r="H116" s="91">
        <f t="shared" si="10"/>
        <v>0</v>
      </c>
      <c r="I116" s="92">
        <f t="shared" si="11"/>
        <v>0</v>
      </c>
      <c r="J116" s="91">
        <f t="shared" si="12"/>
        <v>0</v>
      </c>
      <c r="K116" s="93">
        <f t="shared" si="13"/>
        <v>0</v>
      </c>
    </row>
    <row r="117" spans="6:11" x14ac:dyDescent="0.25">
      <c r="F117" s="91">
        <f t="shared" si="8"/>
        <v>0</v>
      </c>
      <c r="G117" s="91">
        <f t="shared" si="9"/>
        <v>0</v>
      </c>
      <c r="H117" s="91">
        <f t="shared" si="10"/>
        <v>0</v>
      </c>
      <c r="I117" s="92">
        <f t="shared" si="11"/>
        <v>0</v>
      </c>
      <c r="J117" s="91">
        <f t="shared" si="12"/>
        <v>0</v>
      </c>
      <c r="K117" s="93">
        <f t="shared" si="13"/>
        <v>0</v>
      </c>
    </row>
    <row r="118" spans="6:11" x14ac:dyDescent="0.25">
      <c r="F118" s="91">
        <f t="shared" si="8"/>
        <v>0</v>
      </c>
      <c r="G118" s="91">
        <f t="shared" si="9"/>
        <v>0</v>
      </c>
      <c r="H118" s="91">
        <f t="shared" si="10"/>
        <v>0</v>
      </c>
      <c r="I118" s="92">
        <f t="shared" si="11"/>
        <v>0</v>
      </c>
      <c r="J118" s="91">
        <f t="shared" si="12"/>
        <v>0</v>
      </c>
      <c r="K118" s="93">
        <f t="shared" si="13"/>
        <v>0</v>
      </c>
    </row>
    <row r="119" spans="6:11" x14ac:dyDescent="0.25">
      <c r="F119" s="91">
        <f t="shared" si="8"/>
        <v>0</v>
      </c>
      <c r="G119" s="91">
        <f t="shared" si="9"/>
        <v>0</v>
      </c>
      <c r="H119" s="91">
        <f t="shared" si="10"/>
        <v>0</v>
      </c>
      <c r="I119" s="92">
        <f t="shared" si="11"/>
        <v>0</v>
      </c>
      <c r="J119" s="91">
        <f t="shared" si="12"/>
        <v>0</v>
      </c>
      <c r="K119" s="93">
        <f t="shared" si="13"/>
        <v>0</v>
      </c>
    </row>
    <row r="120" spans="6:11" x14ac:dyDescent="0.25">
      <c r="F120" s="91">
        <f t="shared" si="8"/>
        <v>0</v>
      </c>
      <c r="G120" s="91">
        <f t="shared" si="9"/>
        <v>0</v>
      </c>
      <c r="H120" s="91">
        <f t="shared" si="10"/>
        <v>0</v>
      </c>
      <c r="I120" s="92">
        <f t="shared" si="11"/>
        <v>0</v>
      </c>
      <c r="J120" s="91">
        <f t="shared" si="12"/>
        <v>0</v>
      </c>
      <c r="K120" s="93">
        <f t="shared" si="13"/>
        <v>0</v>
      </c>
    </row>
    <row r="121" spans="6:11" x14ac:dyDescent="0.25">
      <c r="F121" s="91">
        <f t="shared" si="8"/>
        <v>0</v>
      </c>
      <c r="G121" s="91">
        <f t="shared" si="9"/>
        <v>0</v>
      </c>
      <c r="H121" s="91">
        <f t="shared" si="10"/>
        <v>0</v>
      </c>
      <c r="I121" s="92">
        <f t="shared" si="11"/>
        <v>0</v>
      </c>
      <c r="J121" s="91">
        <f t="shared" si="12"/>
        <v>0</v>
      </c>
      <c r="K121" s="93">
        <f t="shared" si="13"/>
        <v>0</v>
      </c>
    </row>
    <row r="122" spans="6:11" x14ac:dyDescent="0.25">
      <c r="F122" s="91">
        <f t="shared" si="8"/>
        <v>0</v>
      </c>
      <c r="G122" s="91">
        <f t="shared" si="9"/>
        <v>0</v>
      </c>
      <c r="H122" s="91">
        <f t="shared" si="10"/>
        <v>0</v>
      </c>
      <c r="I122" s="92">
        <f t="shared" si="11"/>
        <v>0</v>
      </c>
      <c r="J122" s="91">
        <f t="shared" si="12"/>
        <v>0</v>
      </c>
      <c r="K122" s="93">
        <f t="shared" si="13"/>
        <v>0</v>
      </c>
    </row>
    <row r="123" spans="6:11" x14ac:dyDescent="0.25">
      <c r="F123" s="91">
        <f t="shared" si="8"/>
        <v>0</v>
      </c>
      <c r="G123" s="91">
        <f t="shared" si="9"/>
        <v>0</v>
      </c>
      <c r="H123" s="91">
        <f t="shared" si="10"/>
        <v>0</v>
      </c>
      <c r="I123" s="92">
        <f t="shared" si="11"/>
        <v>0</v>
      </c>
      <c r="J123" s="91">
        <f t="shared" si="12"/>
        <v>0</v>
      </c>
      <c r="K123" s="93">
        <f t="shared" si="13"/>
        <v>0</v>
      </c>
    </row>
    <row r="124" spans="6:11" x14ac:dyDescent="0.25">
      <c r="F124" s="91">
        <f t="shared" si="8"/>
        <v>0</v>
      </c>
      <c r="G124" s="91">
        <f t="shared" si="9"/>
        <v>0</v>
      </c>
      <c r="H124" s="91">
        <f t="shared" si="10"/>
        <v>0</v>
      </c>
      <c r="I124" s="92">
        <f t="shared" si="11"/>
        <v>0</v>
      </c>
      <c r="J124" s="91">
        <f t="shared" si="12"/>
        <v>0</v>
      </c>
      <c r="K124" s="93">
        <f t="shared" si="13"/>
        <v>0</v>
      </c>
    </row>
    <row r="125" spans="6:11" x14ac:dyDescent="0.25">
      <c r="F125" s="91">
        <f t="shared" si="8"/>
        <v>0</v>
      </c>
      <c r="G125" s="91">
        <f t="shared" si="9"/>
        <v>0</v>
      </c>
      <c r="H125" s="91">
        <f t="shared" si="10"/>
        <v>0</v>
      </c>
      <c r="I125" s="92">
        <f t="shared" si="11"/>
        <v>0</v>
      </c>
      <c r="J125" s="91">
        <f t="shared" si="12"/>
        <v>0</v>
      </c>
      <c r="K125" s="93">
        <f t="shared" si="13"/>
        <v>0</v>
      </c>
    </row>
    <row r="126" spans="6:11" x14ac:dyDescent="0.25">
      <c r="F126" s="91">
        <f t="shared" si="8"/>
        <v>0</v>
      </c>
      <c r="G126" s="91">
        <f t="shared" si="9"/>
        <v>0</v>
      </c>
      <c r="H126" s="91">
        <f t="shared" si="10"/>
        <v>0</v>
      </c>
      <c r="I126" s="92">
        <f t="shared" si="11"/>
        <v>0</v>
      </c>
      <c r="J126" s="91">
        <f t="shared" si="12"/>
        <v>0</v>
      </c>
      <c r="K126" s="93">
        <f t="shared" si="13"/>
        <v>0</v>
      </c>
    </row>
    <row r="127" spans="6:11" x14ac:dyDescent="0.25">
      <c r="F127" s="91">
        <f t="shared" si="8"/>
        <v>0</v>
      </c>
      <c r="G127" s="91">
        <f t="shared" si="9"/>
        <v>0</v>
      </c>
      <c r="H127" s="91">
        <f t="shared" si="10"/>
        <v>0</v>
      </c>
      <c r="I127" s="92">
        <f t="shared" si="11"/>
        <v>0</v>
      </c>
      <c r="J127" s="91">
        <f t="shared" si="12"/>
        <v>0</v>
      </c>
      <c r="K127" s="93">
        <f t="shared" si="13"/>
        <v>0</v>
      </c>
    </row>
    <row r="128" spans="6:11" x14ac:dyDescent="0.25">
      <c r="F128" s="91">
        <f t="shared" si="8"/>
        <v>0</v>
      </c>
      <c r="G128" s="91">
        <f t="shared" si="9"/>
        <v>0</v>
      </c>
      <c r="H128" s="91">
        <f t="shared" si="10"/>
        <v>0</v>
      </c>
      <c r="I128" s="92">
        <f t="shared" si="11"/>
        <v>0</v>
      </c>
      <c r="J128" s="91">
        <f t="shared" si="12"/>
        <v>0</v>
      </c>
      <c r="K128" s="93">
        <f t="shared" si="13"/>
        <v>0</v>
      </c>
    </row>
    <row r="129" spans="6:11" x14ac:dyDescent="0.25">
      <c r="F129" s="91">
        <f t="shared" si="8"/>
        <v>0</v>
      </c>
      <c r="G129" s="91">
        <f t="shared" si="9"/>
        <v>0</v>
      </c>
      <c r="H129" s="91">
        <f t="shared" si="10"/>
        <v>0</v>
      </c>
      <c r="I129" s="92">
        <f t="shared" si="11"/>
        <v>0</v>
      </c>
      <c r="J129" s="91">
        <f t="shared" si="12"/>
        <v>0</v>
      </c>
      <c r="K129" s="93">
        <f t="shared" si="13"/>
        <v>0</v>
      </c>
    </row>
    <row r="130" spans="6:11" x14ac:dyDescent="0.25">
      <c r="F130" s="91">
        <f t="shared" si="8"/>
        <v>0</v>
      </c>
      <c r="G130" s="91">
        <f t="shared" si="9"/>
        <v>0</v>
      </c>
      <c r="H130" s="91">
        <f t="shared" si="10"/>
        <v>0</v>
      </c>
      <c r="I130" s="92">
        <f t="shared" si="11"/>
        <v>0</v>
      </c>
      <c r="J130" s="91">
        <f t="shared" si="12"/>
        <v>0</v>
      </c>
      <c r="K130" s="93">
        <f t="shared" si="13"/>
        <v>0</v>
      </c>
    </row>
    <row r="131" spans="6:11" x14ac:dyDescent="0.25">
      <c r="F131" s="91">
        <f t="shared" si="8"/>
        <v>0</v>
      </c>
      <c r="G131" s="91">
        <f t="shared" si="9"/>
        <v>0</v>
      </c>
      <c r="H131" s="91">
        <f t="shared" si="10"/>
        <v>0</v>
      </c>
      <c r="I131" s="92">
        <f t="shared" si="11"/>
        <v>0</v>
      </c>
      <c r="J131" s="91">
        <f t="shared" si="12"/>
        <v>0</v>
      </c>
      <c r="K131" s="93">
        <f t="shared" si="13"/>
        <v>0</v>
      </c>
    </row>
    <row r="132" spans="6:11" x14ac:dyDescent="0.25">
      <c r="F132" s="91">
        <f t="shared" si="8"/>
        <v>0</v>
      </c>
      <c r="G132" s="91">
        <f t="shared" si="9"/>
        <v>0</v>
      </c>
      <c r="H132" s="91">
        <f t="shared" si="10"/>
        <v>0</v>
      </c>
      <c r="I132" s="92">
        <f t="shared" si="11"/>
        <v>0</v>
      </c>
      <c r="J132" s="91">
        <f t="shared" si="12"/>
        <v>0</v>
      </c>
      <c r="K132" s="93">
        <f t="shared" si="13"/>
        <v>0</v>
      </c>
    </row>
    <row r="133" spans="6:11" x14ac:dyDescent="0.25">
      <c r="F133" s="91">
        <f t="shared" si="8"/>
        <v>0</v>
      </c>
      <c r="G133" s="91">
        <f t="shared" si="9"/>
        <v>0</v>
      </c>
      <c r="H133" s="91">
        <f t="shared" si="10"/>
        <v>0</v>
      </c>
      <c r="I133" s="92">
        <f t="shared" si="11"/>
        <v>0</v>
      </c>
      <c r="J133" s="91">
        <f t="shared" si="12"/>
        <v>0</v>
      </c>
      <c r="K133" s="93">
        <f t="shared" si="13"/>
        <v>0</v>
      </c>
    </row>
    <row r="134" spans="6:11" x14ac:dyDescent="0.25">
      <c r="F134" s="91">
        <f t="shared" ref="F134:F197" si="14">$A$3</f>
        <v>0</v>
      </c>
      <c r="G134" s="91">
        <f t="shared" ref="G134:G197" si="15">$D$3</f>
        <v>0</v>
      </c>
      <c r="H134" s="91">
        <f t="shared" ref="H134:H197" si="16">A134</f>
        <v>0</v>
      </c>
      <c r="I134" s="92">
        <f t="shared" ref="I134:I197" si="17">B134</f>
        <v>0</v>
      </c>
      <c r="J134" s="91">
        <f t="shared" ref="J134:J197" si="18">C134</f>
        <v>0</v>
      </c>
      <c r="K134" s="93">
        <f t="shared" ref="K134:K197" si="19">D134</f>
        <v>0</v>
      </c>
    </row>
    <row r="135" spans="6:11" x14ac:dyDescent="0.25">
      <c r="F135" s="91">
        <f t="shared" si="14"/>
        <v>0</v>
      </c>
      <c r="G135" s="91">
        <f t="shared" si="15"/>
        <v>0</v>
      </c>
      <c r="H135" s="91">
        <f t="shared" si="16"/>
        <v>0</v>
      </c>
      <c r="I135" s="92">
        <f t="shared" si="17"/>
        <v>0</v>
      </c>
      <c r="J135" s="91">
        <f t="shared" si="18"/>
        <v>0</v>
      </c>
      <c r="K135" s="93">
        <f t="shared" si="19"/>
        <v>0</v>
      </c>
    </row>
    <row r="136" spans="6:11" x14ac:dyDescent="0.25">
      <c r="F136" s="91">
        <f t="shared" si="14"/>
        <v>0</v>
      </c>
      <c r="G136" s="91">
        <f t="shared" si="15"/>
        <v>0</v>
      </c>
      <c r="H136" s="91">
        <f t="shared" si="16"/>
        <v>0</v>
      </c>
      <c r="I136" s="92">
        <f t="shared" si="17"/>
        <v>0</v>
      </c>
      <c r="J136" s="91">
        <f t="shared" si="18"/>
        <v>0</v>
      </c>
      <c r="K136" s="93">
        <f t="shared" si="19"/>
        <v>0</v>
      </c>
    </row>
    <row r="137" spans="6:11" x14ac:dyDescent="0.25">
      <c r="F137" s="91">
        <f t="shared" si="14"/>
        <v>0</v>
      </c>
      <c r="G137" s="91">
        <f t="shared" si="15"/>
        <v>0</v>
      </c>
      <c r="H137" s="91">
        <f t="shared" si="16"/>
        <v>0</v>
      </c>
      <c r="I137" s="92">
        <f t="shared" si="17"/>
        <v>0</v>
      </c>
      <c r="J137" s="91">
        <f t="shared" si="18"/>
        <v>0</v>
      </c>
      <c r="K137" s="93">
        <f t="shared" si="19"/>
        <v>0</v>
      </c>
    </row>
    <row r="138" spans="6:11" x14ac:dyDescent="0.25">
      <c r="F138" s="91">
        <f t="shared" si="14"/>
        <v>0</v>
      </c>
      <c r="G138" s="91">
        <f t="shared" si="15"/>
        <v>0</v>
      </c>
      <c r="H138" s="91">
        <f t="shared" si="16"/>
        <v>0</v>
      </c>
      <c r="I138" s="92">
        <f t="shared" si="17"/>
        <v>0</v>
      </c>
      <c r="J138" s="91">
        <f t="shared" si="18"/>
        <v>0</v>
      </c>
      <c r="K138" s="93">
        <f t="shared" si="19"/>
        <v>0</v>
      </c>
    </row>
    <row r="139" spans="6:11" x14ac:dyDescent="0.25">
      <c r="F139" s="91">
        <f t="shared" si="14"/>
        <v>0</v>
      </c>
      <c r="G139" s="91">
        <f t="shared" si="15"/>
        <v>0</v>
      </c>
      <c r="H139" s="91">
        <f t="shared" si="16"/>
        <v>0</v>
      </c>
      <c r="I139" s="92">
        <f t="shared" si="17"/>
        <v>0</v>
      </c>
      <c r="J139" s="91">
        <f t="shared" si="18"/>
        <v>0</v>
      </c>
      <c r="K139" s="93">
        <f t="shared" si="19"/>
        <v>0</v>
      </c>
    </row>
    <row r="140" spans="6:11" x14ac:dyDescent="0.25">
      <c r="F140" s="91">
        <f t="shared" si="14"/>
        <v>0</v>
      </c>
      <c r="G140" s="91">
        <f t="shared" si="15"/>
        <v>0</v>
      </c>
      <c r="H140" s="91">
        <f t="shared" si="16"/>
        <v>0</v>
      </c>
      <c r="I140" s="92">
        <f t="shared" si="17"/>
        <v>0</v>
      </c>
      <c r="J140" s="91">
        <f t="shared" si="18"/>
        <v>0</v>
      </c>
      <c r="K140" s="93">
        <f t="shared" si="19"/>
        <v>0</v>
      </c>
    </row>
    <row r="141" spans="6:11" x14ac:dyDescent="0.25">
      <c r="F141" s="91">
        <f t="shared" si="14"/>
        <v>0</v>
      </c>
      <c r="G141" s="91">
        <f t="shared" si="15"/>
        <v>0</v>
      </c>
      <c r="H141" s="91">
        <f t="shared" si="16"/>
        <v>0</v>
      </c>
      <c r="I141" s="92">
        <f t="shared" si="17"/>
        <v>0</v>
      </c>
      <c r="J141" s="91">
        <f t="shared" si="18"/>
        <v>0</v>
      </c>
      <c r="K141" s="93">
        <f t="shared" si="19"/>
        <v>0</v>
      </c>
    </row>
    <row r="142" spans="6:11" x14ac:dyDescent="0.25">
      <c r="F142" s="91">
        <f t="shared" si="14"/>
        <v>0</v>
      </c>
      <c r="G142" s="91">
        <f t="shared" si="15"/>
        <v>0</v>
      </c>
      <c r="H142" s="91">
        <f t="shared" si="16"/>
        <v>0</v>
      </c>
      <c r="I142" s="92">
        <f t="shared" si="17"/>
        <v>0</v>
      </c>
      <c r="J142" s="91">
        <f t="shared" si="18"/>
        <v>0</v>
      </c>
      <c r="K142" s="93">
        <f t="shared" si="19"/>
        <v>0</v>
      </c>
    </row>
    <row r="143" spans="6:11" x14ac:dyDescent="0.25">
      <c r="F143" s="91">
        <f t="shared" si="14"/>
        <v>0</v>
      </c>
      <c r="G143" s="91">
        <f t="shared" si="15"/>
        <v>0</v>
      </c>
      <c r="H143" s="91">
        <f t="shared" si="16"/>
        <v>0</v>
      </c>
      <c r="I143" s="92">
        <f t="shared" si="17"/>
        <v>0</v>
      </c>
      <c r="J143" s="91">
        <f t="shared" si="18"/>
        <v>0</v>
      </c>
      <c r="K143" s="93">
        <f t="shared" si="19"/>
        <v>0</v>
      </c>
    </row>
    <row r="144" spans="6:11" x14ac:dyDescent="0.25">
      <c r="F144" s="91">
        <f t="shared" si="14"/>
        <v>0</v>
      </c>
      <c r="G144" s="91">
        <f t="shared" si="15"/>
        <v>0</v>
      </c>
      <c r="H144" s="91">
        <f t="shared" si="16"/>
        <v>0</v>
      </c>
      <c r="I144" s="92">
        <f t="shared" si="17"/>
        <v>0</v>
      </c>
      <c r="J144" s="91">
        <f t="shared" si="18"/>
        <v>0</v>
      </c>
      <c r="K144" s="93">
        <f t="shared" si="19"/>
        <v>0</v>
      </c>
    </row>
    <row r="145" spans="6:11" x14ac:dyDescent="0.25">
      <c r="F145" s="91">
        <f t="shared" si="14"/>
        <v>0</v>
      </c>
      <c r="G145" s="91">
        <f t="shared" si="15"/>
        <v>0</v>
      </c>
      <c r="H145" s="91">
        <f t="shared" si="16"/>
        <v>0</v>
      </c>
      <c r="I145" s="92">
        <f t="shared" si="17"/>
        <v>0</v>
      </c>
      <c r="J145" s="91">
        <f t="shared" si="18"/>
        <v>0</v>
      </c>
      <c r="K145" s="93">
        <f t="shared" si="19"/>
        <v>0</v>
      </c>
    </row>
    <row r="146" spans="6:11" x14ac:dyDescent="0.25">
      <c r="F146" s="91">
        <f t="shared" si="14"/>
        <v>0</v>
      </c>
      <c r="G146" s="91">
        <f t="shared" si="15"/>
        <v>0</v>
      </c>
      <c r="H146" s="91">
        <f t="shared" si="16"/>
        <v>0</v>
      </c>
      <c r="I146" s="92">
        <f t="shared" si="17"/>
        <v>0</v>
      </c>
      <c r="J146" s="91">
        <f t="shared" si="18"/>
        <v>0</v>
      </c>
      <c r="K146" s="93">
        <f t="shared" si="19"/>
        <v>0</v>
      </c>
    </row>
    <row r="147" spans="6:11" x14ac:dyDescent="0.25">
      <c r="F147" s="91">
        <f t="shared" si="14"/>
        <v>0</v>
      </c>
      <c r="G147" s="91">
        <f t="shared" si="15"/>
        <v>0</v>
      </c>
      <c r="H147" s="91">
        <f t="shared" si="16"/>
        <v>0</v>
      </c>
      <c r="I147" s="92">
        <f t="shared" si="17"/>
        <v>0</v>
      </c>
      <c r="J147" s="91">
        <f t="shared" si="18"/>
        <v>0</v>
      </c>
      <c r="K147" s="93">
        <f t="shared" si="19"/>
        <v>0</v>
      </c>
    </row>
    <row r="148" spans="6:11" x14ac:dyDescent="0.25">
      <c r="F148" s="91">
        <f t="shared" si="14"/>
        <v>0</v>
      </c>
      <c r="G148" s="91">
        <f t="shared" si="15"/>
        <v>0</v>
      </c>
      <c r="H148" s="91">
        <f t="shared" si="16"/>
        <v>0</v>
      </c>
      <c r="I148" s="92">
        <f t="shared" si="17"/>
        <v>0</v>
      </c>
      <c r="J148" s="91">
        <f t="shared" si="18"/>
        <v>0</v>
      </c>
      <c r="K148" s="93">
        <f t="shared" si="19"/>
        <v>0</v>
      </c>
    </row>
    <row r="149" spans="6:11" x14ac:dyDescent="0.25">
      <c r="F149" s="91">
        <f t="shared" si="14"/>
        <v>0</v>
      </c>
      <c r="G149" s="91">
        <f t="shared" si="15"/>
        <v>0</v>
      </c>
      <c r="H149" s="91">
        <f t="shared" si="16"/>
        <v>0</v>
      </c>
      <c r="I149" s="92">
        <f t="shared" si="17"/>
        <v>0</v>
      </c>
      <c r="J149" s="91">
        <f t="shared" si="18"/>
        <v>0</v>
      </c>
      <c r="K149" s="93">
        <f t="shared" si="19"/>
        <v>0</v>
      </c>
    </row>
    <row r="150" spans="6:11" x14ac:dyDescent="0.25">
      <c r="F150" s="91">
        <f t="shared" si="14"/>
        <v>0</v>
      </c>
      <c r="G150" s="91">
        <f t="shared" si="15"/>
        <v>0</v>
      </c>
      <c r="H150" s="91">
        <f t="shared" si="16"/>
        <v>0</v>
      </c>
      <c r="I150" s="92">
        <f t="shared" si="17"/>
        <v>0</v>
      </c>
      <c r="J150" s="91">
        <f t="shared" si="18"/>
        <v>0</v>
      </c>
      <c r="K150" s="93">
        <f t="shared" si="19"/>
        <v>0</v>
      </c>
    </row>
    <row r="151" spans="6:11" x14ac:dyDescent="0.25">
      <c r="F151" s="91">
        <f t="shared" si="14"/>
        <v>0</v>
      </c>
      <c r="G151" s="91">
        <f t="shared" si="15"/>
        <v>0</v>
      </c>
      <c r="H151" s="91">
        <f t="shared" si="16"/>
        <v>0</v>
      </c>
      <c r="I151" s="92">
        <f t="shared" si="17"/>
        <v>0</v>
      </c>
      <c r="J151" s="91">
        <f t="shared" si="18"/>
        <v>0</v>
      </c>
      <c r="K151" s="93">
        <f t="shared" si="19"/>
        <v>0</v>
      </c>
    </row>
    <row r="152" spans="6:11" x14ac:dyDescent="0.25">
      <c r="F152" s="91">
        <f t="shared" si="14"/>
        <v>0</v>
      </c>
      <c r="G152" s="91">
        <f t="shared" si="15"/>
        <v>0</v>
      </c>
      <c r="H152" s="91">
        <f t="shared" si="16"/>
        <v>0</v>
      </c>
      <c r="I152" s="92">
        <f t="shared" si="17"/>
        <v>0</v>
      </c>
      <c r="J152" s="91">
        <f t="shared" si="18"/>
        <v>0</v>
      </c>
      <c r="K152" s="93">
        <f t="shared" si="19"/>
        <v>0</v>
      </c>
    </row>
    <row r="153" spans="6:11" x14ac:dyDescent="0.25">
      <c r="F153" s="91">
        <f t="shared" si="14"/>
        <v>0</v>
      </c>
      <c r="G153" s="91">
        <f t="shared" si="15"/>
        <v>0</v>
      </c>
      <c r="H153" s="91">
        <f t="shared" si="16"/>
        <v>0</v>
      </c>
      <c r="I153" s="92">
        <f t="shared" si="17"/>
        <v>0</v>
      </c>
      <c r="J153" s="91">
        <f t="shared" si="18"/>
        <v>0</v>
      </c>
      <c r="K153" s="93">
        <f t="shared" si="19"/>
        <v>0</v>
      </c>
    </row>
    <row r="154" spans="6:11" x14ac:dyDescent="0.25">
      <c r="F154" s="91">
        <f t="shared" si="14"/>
        <v>0</v>
      </c>
      <c r="G154" s="91">
        <f t="shared" si="15"/>
        <v>0</v>
      </c>
      <c r="H154" s="91">
        <f t="shared" si="16"/>
        <v>0</v>
      </c>
      <c r="I154" s="92">
        <f t="shared" si="17"/>
        <v>0</v>
      </c>
      <c r="J154" s="91">
        <f t="shared" si="18"/>
        <v>0</v>
      </c>
      <c r="K154" s="93">
        <f t="shared" si="19"/>
        <v>0</v>
      </c>
    </row>
    <row r="155" spans="6:11" x14ac:dyDescent="0.25">
      <c r="F155" s="91">
        <f t="shared" si="14"/>
        <v>0</v>
      </c>
      <c r="G155" s="91">
        <f t="shared" si="15"/>
        <v>0</v>
      </c>
      <c r="H155" s="91">
        <f t="shared" si="16"/>
        <v>0</v>
      </c>
      <c r="I155" s="92">
        <f t="shared" si="17"/>
        <v>0</v>
      </c>
      <c r="J155" s="91">
        <f t="shared" si="18"/>
        <v>0</v>
      </c>
      <c r="K155" s="93">
        <f t="shared" si="19"/>
        <v>0</v>
      </c>
    </row>
    <row r="156" spans="6:11" x14ac:dyDescent="0.25">
      <c r="F156" s="91">
        <f t="shared" si="14"/>
        <v>0</v>
      </c>
      <c r="G156" s="91">
        <f t="shared" si="15"/>
        <v>0</v>
      </c>
      <c r="H156" s="91">
        <f t="shared" si="16"/>
        <v>0</v>
      </c>
      <c r="I156" s="92">
        <f t="shared" si="17"/>
        <v>0</v>
      </c>
      <c r="J156" s="91">
        <f t="shared" si="18"/>
        <v>0</v>
      </c>
      <c r="K156" s="93">
        <f t="shared" si="19"/>
        <v>0</v>
      </c>
    </row>
    <row r="157" spans="6:11" x14ac:dyDescent="0.25">
      <c r="F157" s="91">
        <f t="shared" si="14"/>
        <v>0</v>
      </c>
      <c r="G157" s="91">
        <f t="shared" si="15"/>
        <v>0</v>
      </c>
      <c r="H157" s="91">
        <f t="shared" si="16"/>
        <v>0</v>
      </c>
      <c r="I157" s="92">
        <f t="shared" si="17"/>
        <v>0</v>
      </c>
      <c r="J157" s="91">
        <f t="shared" si="18"/>
        <v>0</v>
      </c>
      <c r="K157" s="93">
        <f t="shared" si="19"/>
        <v>0</v>
      </c>
    </row>
    <row r="158" spans="6:11" x14ac:dyDescent="0.25">
      <c r="F158" s="91">
        <f t="shared" si="14"/>
        <v>0</v>
      </c>
      <c r="G158" s="91">
        <f t="shared" si="15"/>
        <v>0</v>
      </c>
      <c r="H158" s="91">
        <f t="shared" si="16"/>
        <v>0</v>
      </c>
      <c r="I158" s="92">
        <f t="shared" si="17"/>
        <v>0</v>
      </c>
      <c r="J158" s="91">
        <f t="shared" si="18"/>
        <v>0</v>
      </c>
      <c r="K158" s="93">
        <f t="shared" si="19"/>
        <v>0</v>
      </c>
    </row>
    <row r="159" spans="6:11" x14ac:dyDescent="0.25">
      <c r="F159" s="91">
        <f t="shared" si="14"/>
        <v>0</v>
      </c>
      <c r="G159" s="91">
        <f t="shared" si="15"/>
        <v>0</v>
      </c>
      <c r="H159" s="91">
        <f t="shared" si="16"/>
        <v>0</v>
      </c>
      <c r="I159" s="92">
        <f t="shared" si="17"/>
        <v>0</v>
      </c>
      <c r="J159" s="91">
        <f t="shared" si="18"/>
        <v>0</v>
      </c>
      <c r="K159" s="93">
        <f t="shared" si="19"/>
        <v>0</v>
      </c>
    </row>
    <row r="160" spans="6:11" x14ac:dyDescent="0.25">
      <c r="F160" s="91">
        <f t="shared" si="14"/>
        <v>0</v>
      </c>
      <c r="G160" s="91">
        <f t="shared" si="15"/>
        <v>0</v>
      </c>
      <c r="H160" s="91">
        <f t="shared" si="16"/>
        <v>0</v>
      </c>
      <c r="I160" s="92">
        <f t="shared" si="17"/>
        <v>0</v>
      </c>
      <c r="J160" s="91">
        <f t="shared" si="18"/>
        <v>0</v>
      </c>
      <c r="K160" s="93">
        <f t="shared" si="19"/>
        <v>0</v>
      </c>
    </row>
    <row r="161" spans="6:11" x14ac:dyDescent="0.25">
      <c r="F161" s="91">
        <f t="shared" si="14"/>
        <v>0</v>
      </c>
      <c r="G161" s="91">
        <f t="shared" si="15"/>
        <v>0</v>
      </c>
      <c r="H161" s="91">
        <f t="shared" si="16"/>
        <v>0</v>
      </c>
      <c r="I161" s="92">
        <f t="shared" si="17"/>
        <v>0</v>
      </c>
      <c r="J161" s="91">
        <f t="shared" si="18"/>
        <v>0</v>
      </c>
      <c r="K161" s="93">
        <f t="shared" si="19"/>
        <v>0</v>
      </c>
    </row>
    <row r="162" spans="6:11" x14ac:dyDescent="0.25">
      <c r="F162" s="91">
        <f t="shared" si="14"/>
        <v>0</v>
      </c>
      <c r="G162" s="91">
        <f t="shared" si="15"/>
        <v>0</v>
      </c>
      <c r="H162" s="91">
        <f t="shared" si="16"/>
        <v>0</v>
      </c>
      <c r="I162" s="92">
        <f t="shared" si="17"/>
        <v>0</v>
      </c>
      <c r="J162" s="91">
        <f t="shared" si="18"/>
        <v>0</v>
      </c>
      <c r="K162" s="93">
        <f t="shared" si="19"/>
        <v>0</v>
      </c>
    </row>
    <row r="163" spans="6:11" x14ac:dyDescent="0.25">
      <c r="F163" s="91">
        <f t="shared" si="14"/>
        <v>0</v>
      </c>
      <c r="G163" s="91">
        <f t="shared" si="15"/>
        <v>0</v>
      </c>
      <c r="H163" s="91">
        <f t="shared" si="16"/>
        <v>0</v>
      </c>
      <c r="I163" s="92">
        <f t="shared" si="17"/>
        <v>0</v>
      </c>
      <c r="J163" s="91">
        <f t="shared" si="18"/>
        <v>0</v>
      </c>
      <c r="K163" s="93">
        <f t="shared" si="19"/>
        <v>0</v>
      </c>
    </row>
    <row r="164" spans="6:11" x14ac:dyDescent="0.25">
      <c r="F164" s="91">
        <f t="shared" si="14"/>
        <v>0</v>
      </c>
      <c r="G164" s="91">
        <f t="shared" si="15"/>
        <v>0</v>
      </c>
      <c r="H164" s="91">
        <f t="shared" si="16"/>
        <v>0</v>
      </c>
      <c r="I164" s="92">
        <f t="shared" si="17"/>
        <v>0</v>
      </c>
      <c r="J164" s="91">
        <f t="shared" si="18"/>
        <v>0</v>
      </c>
      <c r="K164" s="93">
        <f t="shared" si="19"/>
        <v>0</v>
      </c>
    </row>
    <row r="165" spans="6:11" x14ac:dyDescent="0.25">
      <c r="F165" s="91">
        <f t="shared" si="14"/>
        <v>0</v>
      </c>
      <c r="G165" s="91">
        <f t="shared" si="15"/>
        <v>0</v>
      </c>
      <c r="H165" s="91">
        <f t="shared" si="16"/>
        <v>0</v>
      </c>
      <c r="I165" s="92">
        <f t="shared" si="17"/>
        <v>0</v>
      </c>
      <c r="J165" s="91">
        <f t="shared" si="18"/>
        <v>0</v>
      </c>
      <c r="K165" s="93">
        <f t="shared" si="19"/>
        <v>0</v>
      </c>
    </row>
    <row r="166" spans="6:11" x14ac:dyDescent="0.25">
      <c r="F166" s="91">
        <f t="shared" si="14"/>
        <v>0</v>
      </c>
      <c r="G166" s="91">
        <f t="shared" si="15"/>
        <v>0</v>
      </c>
      <c r="H166" s="91">
        <f t="shared" si="16"/>
        <v>0</v>
      </c>
      <c r="I166" s="92">
        <f t="shared" si="17"/>
        <v>0</v>
      </c>
      <c r="J166" s="91">
        <f t="shared" si="18"/>
        <v>0</v>
      </c>
      <c r="K166" s="93">
        <f t="shared" si="19"/>
        <v>0</v>
      </c>
    </row>
    <row r="167" spans="6:11" x14ac:dyDescent="0.25">
      <c r="F167" s="91">
        <f t="shared" si="14"/>
        <v>0</v>
      </c>
      <c r="G167" s="91">
        <f t="shared" si="15"/>
        <v>0</v>
      </c>
      <c r="H167" s="91">
        <f t="shared" si="16"/>
        <v>0</v>
      </c>
      <c r="I167" s="92">
        <f t="shared" si="17"/>
        <v>0</v>
      </c>
      <c r="J167" s="91">
        <f t="shared" si="18"/>
        <v>0</v>
      </c>
      <c r="K167" s="93">
        <f t="shared" si="19"/>
        <v>0</v>
      </c>
    </row>
    <row r="168" spans="6:11" x14ac:dyDescent="0.25">
      <c r="F168" s="91">
        <f t="shared" si="14"/>
        <v>0</v>
      </c>
      <c r="G168" s="91">
        <f t="shared" si="15"/>
        <v>0</v>
      </c>
      <c r="H168" s="91">
        <f t="shared" si="16"/>
        <v>0</v>
      </c>
      <c r="I168" s="92">
        <f t="shared" si="17"/>
        <v>0</v>
      </c>
      <c r="J168" s="91">
        <f t="shared" si="18"/>
        <v>0</v>
      </c>
      <c r="K168" s="93">
        <f t="shared" si="19"/>
        <v>0</v>
      </c>
    </row>
    <row r="169" spans="6:11" x14ac:dyDescent="0.25">
      <c r="F169" s="91">
        <f t="shared" si="14"/>
        <v>0</v>
      </c>
      <c r="G169" s="91">
        <f t="shared" si="15"/>
        <v>0</v>
      </c>
      <c r="H169" s="91">
        <f t="shared" si="16"/>
        <v>0</v>
      </c>
      <c r="I169" s="92">
        <f t="shared" si="17"/>
        <v>0</v>
      </c>
      <c r="J169" s="91">
        <f t="shared" si="18"/>
        <v>0</v>
      </c>
      <c r="K169" s="93">
        <f t="shared" si="19"/>
        <v>0</v>
      </c>
    </row>
    <row r="170" spans="6:11" x14ac:dyDescent="0.25">
      <c r="F170" s="91">
        <f t="shared" si="14"/>
        <v>0</v>
      </c>
      <c r="G170" s="91">
        <f t="shared" si="15"/>
        <v>0</v>
      </c>
      <c r="H170" s="91">
        <f t="shared" si="16"/>
        <v>0</v>
      </c>
      <c r="I170" s="92">
        <f t="shared" si="17"/>
        <v>0</v>
      </c>
      <c r="J170" s="91">
        <f t="shared" si="18"/>
        <v>0</v>
      </c>
      <c r="K170" s="93">
        <f t="shared" si="19"/>
        <v>0</v>
      </c>
    </row>
    <row r="171" spans="6:11" x14ac:dyDescent="0.25">
      <c r="F171" s="91">
        <f t="shared" si="14"/>
        <v>0</v>
      </c>
      <c r="G171" s="91">
        <f t="shared" si="15"/>
        <v>0</v>
      </c>
      <c r="H171" s="91">
        <f t="shared" si="16"/>
        <v>0</v>
      </c>
      <c r="I171" s="92">
        <f t="shared" si="17"/>
        <v>0</v>
      </c>
      <c r="J171" s="91">
        <f t="shared" si="18"/>
        <v>0</v>
      </c>
      <c r="K171" s="93">
        <f t="shared" si="19"/>
        <v>0</v>
      </c>
    </row>
    <row r="172" spans="6:11" x14ac:dyDescent="0.25">
      <c r="F172" s="91">
        <f t="shared" si="14"/>
        <v>0</v>
      </c>
      <c r="G172" s="91">
        <f t="shared" si="15"/>
        <v>0</v>
      </c>
      <c r="H172" s="91">
        <f t="shared" si="16"/>
        <v>0</v>
      </c>
      <c r="I172" s="92">
        <f t="shared" si="17"/>
        <v>0</v>
      </c>
      <c r="J172" s="91">
        <f t="shared" si="18"/>
        <v>0</v>
      </c>
      <c r="K172" s="93">
        <f t="shared" si="19"/>
        <v>0</v>
      </c>
    </row>
    <row r="173" spans="6:11" x14ac:dyDescent="0.25">
      <c r="F173" s="91">
        <f t="shared" si="14"/>
        <v>0</v>
      </c>
      <c r="G173" s="91">
        <f t="shared" si="15"/>
        <v>0</v>
      </c>
      <c r="H173" s="91">
        <f t="shared" si="16"/>
        <v>0</v>
      </c>
      <c r="I173" s="92">
        <f t="shared" si="17"/>
        <v>0</v>
      </c>
      <c r="J173" s="91">
        <f t="shared" si="18"/>
        <v>0</v>
      </c>
      <c r="K173" s="93">
        <f t="shared" si="19"/>
        <v>0</v>
      </c>
    </row>
    <row r="174" spans="6:11" x14ac:dyDescent="0.25">
      <c r="F174" s="91">
        <f t="shared" si="14"/>
        <v>0</v>
      </c>
      <c r="G174" s="91">
        <f t="shared" si="15"/>
        <v>0</v>
      </c>
      <c r="H174" s="91">
        <f t="shared" si="16"/>
        <v>0</v>
      </c>
      <c r="I174" s="92">
        <f t="shared" si="17"/>
        <v>0</v>
      </c>
      <c r="J174" s="91">
        <f t="shared" si="18"/>
        <v>0</v>
      </c>
      <c r="K174" s="93">
        <f t="shared" si="19"/>
        <v>0</v>
      </c>
    </row>
    <row r="175" spans="6:11" x14ac:dyDescent="0.25">
      <c r="F175" s="91">
        <f t="shared" si="14"/>
        <v>0</v>
      </c>
      <c r="G175" s="91">
        <f t="shared" si="15"/>
        <v>0</v>
      </c>
      <c r="H175" s="91">
        <f t="shared" si="16"/>
        <v>0</v>
      </c>
      <c r="I175" s="92">
        <f t="shared" si="17"/>
        <v>0</v>
      </c>
      <c r="J175" s="91">
        <f t="shared" si="18"/>
        <v>0</v>
      </c>
      <c r="K175" s="93">
        <f t="shared" si="19"/>
        <v>0</v>
      </c>
    </row>
    <row r="176" spans="6:11" x14ac:dyDescent="0.25">
      <c r="F176" s="91">
        <f t="shared" si="14"/>
        <v>0</v>
      </c>
      <c r="G176" s="91">
        <f t="shared" si="15"/>
        <v>0</v>
      </c>
      <c r="H176" s="91">
        <f t="shared" si="16"/>
        <v>0</v>
      </c>
      <c r="I176" s="92">
        <f t="shared" si="17"/>
        <v>0</v>
      </c>
      <c r="J176" s="91">
        <f t="shared" si="18"/>
        <v>0</v>
      </c>
      <c r="K176" s="93">
        <f t="shared" si="19"/>
        <v>0</v>
      </c>
    </row>
    <row r="177" spans="6:11" x14ac:dyDescent="0.25">
      <c r="F177" s="91">
        <f t="shared" si="14"/>
        <v>0</v>
      </c>
      <c r="G177" s="91">
        <f t="shared" si="15"/>
        <v>0</v>
      </c>
      <c r="H177" s="91">
        <f t="shared" si="16"/>
        <v>0</v>
      </c>
      <c r="I177" s="92">
        <f t="shared" si="17"/>
        <v>0</v>
      </c>
      <c r="J177" s="91">
        <f t="shared" si="18"/>
        <v>0</v>
      </c>
      <c r="K177" s="93">
        <f t="shared" si="19"/>
        <v>0</v>
      </c>
    </row>
    <row r="178" spans="6:11" x14ac:dyDescent="0.25">
      <c r="F178" s="91">
        <f t="shared" si="14"/>
        <v>0</v>
      </c>
      <c r="G178" s="91">
        <f t="shared" si="15"/>
        <v>0</v>
      </c>
      <c r="H178" s="91">
        <f t="shared" si="16"/>
        <v>0</v>
      </c>
      <c r="I178" s="92">
        <f t="shared" si="17"/>
        <v>0</v>
      </c>
      <c r="J178" s="91">
        <f t="shared" si="18"/>
        <v>0</v>
      </c>
      <c r="K178" s="93">
        <f t="shared" si="19"/>
        <v>0</v>
      </c>
    </row>
    <row r="179" spans="6:11" x14ac:dyDescent="0.25">
      <c r="F179" s="91">
        <f t="shared" si="14"/>
        <v>0</v>
      </c>
      <c r="G179" s="91">
        <f t="shared" si="15"/>
        <v>0</v>
      </c>
      <c r="H179" s="91">
        <f t="shared" si="16"/>
        <v>0</v>
      </c>
      <c r="I179" s="92">
        <f t="shared" si="17"/>
        <v>0</v>
      </c>
      <c r="J179" s="91">
        <f t="shared" si="18"/>
        <v>0</v>
      </c>
      <c r="K179" s="93">
        <f t="shared" si="19"/>
        <v>0</v>
      </c>
    </row>
    <row r="180" spans="6:11" x14ac:dyDescent="0.25">
      <c r="F180" s="91">
        <f t="shared" si="14"/>
        <v>0</v>
      </c>
      <c r="G180" s="91">
        <f t="shared" si="15"/>
        <v>0</v>
      </c>
      <c r="H180" s="91">
        <f t="shared" si="16"/>
        <v>0</v>
      </c>
      <c r="I180" s="92">
        <f t="shared" si="17"/>
        <v>0</v>
      </c>
      <c r="J180" s="91">
        <f t="shared" si="18"/>
        <v>0</v>
      </c>
      <c r="K180" s="93">
        <f t="shared" si="19"/>
        <v>0</v>
      </c>
    </row>
    <row r="181" spans="6:11" x14ac:dyDescent="0.25">
      <c r="F181" s="91">
        <f t="shared" si="14"/>
        <v>0</v>
      </c>
      <c r="G181" s="91">
        <f t="shared" si="15"/>
        <v>0</v>
      </c>
      <c r="H181" s="91">
        <f t="shared" si="16"/>
        <v>0</v>
      </c>
      <c r="I181" s="92">
        <f t="shared" si="17"/>
        <v>0</v>
      </c>
      <c r="J181" s="91">
        <f t="shared" si="18"/>
        <v>0</v>
      </c>
      <c r="K181" s="93">
        <f t="shared" si="19"/>
        <v>0</v>
      </c>
    </row>
    <row r="182" spans="6:11" x14ac:dyDescent="0.25">
      <c r="F182" s="91">
        <f t="shared" si="14"/>
        <v>0</v>
      </c>
      <c r="G182" s="91">
        <f t="shared" si="15"/>
        <v>0</v>
      </c>
      <c r="H182" s="91">
        <f t="shared" si="16"/>
        <v>0</v>
      </c>
      <c r="I182" s="92">
        <f t="shared" si="17"/>
        <v>0</v>
      </c>
      <c r="J182" s="91">
        <f t="shared" si="18"/>
        <v>0</v>
      </c>
      <c r="K182" s="93">
        <f t="shared" si="19"/>
        <v>0</v>
      </c>
    </row>
    <row r="183" spans="6:11" x14ac:dyDescent="0.25">
      <c r="F183" s="91">
        <f t="shared" si="14"/>
        <v>0</v>
      </c>
      <c r="G183" s="91">
        <f t="shared" si="15"/>
        <v>0</v>
      </c>
      <c r="H183" s="91">
        <f t="shared" si="16"/>
        <v>0</v>
      </c>
      <c r="I183" s="92">
        <f t="shared" si="17"/>
        <v>0</v>
      </c>
      <c r="J183" s="91">
        <f t="shared" si="18"/>
        <v>0</v>
      </c>
      <c r="K183" s="93">
        <f t="shared" si="19"/>
        <v>0</v>
      </c>
    </row>
    <row r="184" spans="6:11" x14ac:dyDescent="0.25">
      <c r="F184" s="91">
        <f t="shared" si="14"/>
        <v>0</v>
      </c>
      <c r="G184" s="91">
        <f t="shared" si="15"/>
        <v>0</v>
      </c>
      <c r="H184" s="91">
        <f t="shared" si="16"/>
        <v>0</v>
      </c>
      <c r="I184" s="92">
        <f t="shared" si="17"/>
        <v>0</v>
      </c>
      <c r="J184" s="91">
        <f t="shared" si="18"/>
        <v>0</v>
      </c>
      <c r="K184" s="93">
        <f t="shared" si="19"/>
        <v>0</v>
      </c>
    </row>
    <row r="185" spans="6:11" x14ac:dyDescent="0.25">
      <c r="F185" s="91">
        <f t="shared" si="14"/>
        <v>0</v>
      </c>
      <c r="G185" s="91">
        <f t="shared" si="15"/>
        <v>0</v>
      </c>
      <c r="H185" s="91">
        <f t="shared" si="16"/>
        <v>0</v>
      </c>
      <c r="I185" s="92">
        <f t="shared" si="17"/>
        <v>0</v>
      </c>
      <c r="J185" s="91">
        <f t="shared" si="18"/>
        <v>0</v>
      </c>
      <c r="K185" s="93">
        <f t="shared" si="19"/>
        <v>0</v>
      </c>
    </row>
    <row r="186" spans="6:11" x14ac:dyDescent="0.25">
      <c r="F186" s="91">
        <f t="shared" si="14"/>
        <v>0</v>
      </c>
      <c r="G186" s="91">
        <f t="shared" si="15"/>
        <v>0</v>
      </c>
      <c r="H186" s="91">
        <f t="shared" si="16"/>
        <v>0</v>
      </c>
      <c r="I186" s="92">
        <f t="shared" si="17"/>
        <v>0</v>
      </c>
      <c r="J186" s="91">
        <f t="shared" si="18"/>
        <v>0</v>
      </c>
      <c r="K186" s="93">
        <f t="shared" si="19"/>
        <v>0</v>
      </c>
    </row>
    <row r="187" spans="6:11" x14ac:dyDescent="0.25">
      <c r="F187" s="91">
        <f t="shared" si="14"/>
        <v>0</v>
      </c>
      <c r="G187" s="91">
        <f t="shared" si="15"/>
        <v>0</v>
      </c>
      <c r="H187" s="91">
        <f t="shared" si="16"/>
        <v>0</v>
      </c>
      <c r="I187" s="92">
        <f t="shared" si="17"/>
        <v>0</v>
      </c>
      <c r="J187" s="91">
        <f t="shared" si="18"/>
        <v>0</v>
      </c>
      <c r="K187" s="93">
        <f t="shared" si="19"/>
        <v>0</v>
      </c>
    </row>
    <row r="188" spans="6:11" x14ac:dyDescent="0.25">
      <c r="F188" s="91">
        <f t="shared" si="14"/>
        <v>0</v>
      </c>
      <c r="G188" s="91">
        <f t="shared" si="15"/>
        <v>0</v>
      </c>
      <c r="H188" s="91">
        <f t="shared" si="16"/>
        <v>0</v>
      </c>
      <c r="I188" s="92">
        <f t="shared" si="17"/>
        <v>0</v>
      </c>
      <c r="J188" s="91">
        <f t="shared" si="18"/>
        <v>0</v>
      </c>
      <c r="K188" s="93">
        <f t="shared" si="19"/>
        <v>0</v>
      </c>
    </row>
    <row r="189" spans="6:11" x14ac:dyDescent="0.25">
      <c r="F189" s="91">
        <f t="shared" si="14"/>
        <v>0</v>
      </c>
      <c r="G189" s="91">
        <f t="shared" si="15"/>
        <v>0</v>
      </c>
      <c r="H189" s="91">
        <f t="shared" si="16"/>
        <v>0</v>
      </c>
      <c r="I189" s="92">
        <f t="shared" si="17"/>
        <v>0</v>
      </c>
      <c r="J189" s="91">
        <f t="shared" si="18"/>
        <v>0</v>
      </c>
      <c r="K189" s="93">
        <f t="shared" si="19"/>
        <v>0</v>
      </c>
    </row>
    <row r="190" spans="6:11" x14ac:dyDescent="0.25">
      <c r="F190" s="91">
        <f t="shared" si="14"/>
        <v>0</v>
      </c>
      <c r="G190" s="91">
        <f t="shared" si="15"/>
        <v>0</v>
      </c>
      <c r="H190" s="91">
        <f t="shared" si="16"/>
        <v>0</v>
      </c>
      <c r="I190" s="92">
        <f t="shared" si="17"/>
        <v>0</v>
      </c>
      <c r="J190" s="91">
        <f t="shared" si="18"/>
        <v>0</v>
      </c>
      <c r="K190" s="93">
        <f t="shared" si="19"/>
        <v>0</v>
      </c>
    </row>
    <row r="191" spans="6:11" x14ac:dyDescent="0.25">
      <c r="F191" s="91">
        <f t="shared" si="14"/>
        <v>0</v>
      </c>
      <c r="G191" s="91">
        <f t="shared" si="15"/>
        <v>0</v>
      </c>
      <c r="H191" s="91">
        <f t="shared" si="16"/>
        <v>0</v>
      </c>
      <c r="I191" s="92">
        <f t="shared" si="17"/>
        <v>0</v>
      </c>
      <c r="J191" s="91">
        <f t="shared" si="18"/>
        <v>0</v>
      </c>
      <c r="K191" s="93">
        <f t="shared" si="19"/>
        <v>0</v>
      </c>
    </row>
    <row r="192" spans="6:11" x14ac:dyDescent="0.25">
      <c r="F192" s="91">
        <f t="shared" si="14"/>
        <v>0</v>
      </c>
      <c r="G192" s="91">
        <f t="shared" si="15"/>
        <v>0</v>
      </c>
      <c r="H192" s="91">
        <f t="shared" si="16"/>
        <v>0</v>
      </c>
      <c r="I192" s="92">
        <f t="shared" si="17"/>
        <v>0</v>
      </c>
      <c r="J192" s="91">
        <f t="shared" si="18"/>
        <v>0</v>
      </c>
      <c r="K192" s="93">
        <f t="shared" si="19"/>
        <v>0</v>
      </c>
    </row>
    <row r="193" spans="6:11" x14ac:dyDescent="0.25">
      <c r="F193" s="91">
        <f t="shared" si="14"/>
        <v>0</v>
      </c>
      <c r="G193" s="91">
        <f t="shared" si="15"/>
        <v>0</v>
      </c>
      <c r="H193" s="91">
        <f t="shared" si="16"/>
        <v>0</v>
      </c>
      <c r="I193" s="92">
        <f t="shared" si="17"/>
        <v>0</v>
      </c>
      <c r="J193" s="91">
        <f t="shared" si="18"/>
        <v>0</v>
      </c>
      <c r="K193" s="93">
        <f t="shared" si="19"/>
        <v>0</v>
      </c>
    </row>
    <row r="194" spans="6:11" x14ac:dyDescent="0.25">
      <c r="F194" s="91">
        <f t="shared" si="14"/>
        <v>0</v>
      </c>
      <c r="G194" s="91">
        <f t="shared" si="15"/>
        <v>0</v>
      </c>
      <c r="H194" s="91">
        <f t="shared" si="16"/>
        <v>0</v>
      </c>
      <c r="I194" s="92">
        <f t="shared" si="17"/>
        <v>0</v>
      </c>
      <c r="J194" s="91">
        <f t="shared" si="18"/>
        <v>0</v>
      </c>
      <c r="K194" s="93">
        <f t="shared" si="19"/>
        <v>0</v>
      </c>
    </row>
    <row r="195" spans="6:11" x14ac:dyDescent="0.25">
      <c r="F195" s="91">
        <f t="shared" si="14"/>
        <v>0</v>
      </c>
      <c r="G195" s="91">
        <f t="shared" si="15"/>
        <v>0</v>
      </c>
      <c r="H195" s="91">
        <f t="shared" si="16"/>
        <v>0</v>
      </c>
      <c r="I195" s="92">
        <f t="shared" si="17"/>
        <v>0</v>
      </c>
      <c r="J195" s="91">
        <f t="shared" si="18"/>
        <v>0</v>
      </c>
      <c r="K195" s="93">
        <f t="shared" si="19"/>
        <v>0</v>
      </c>
    </row>
    <row r="196" spans="6:11" x14ac:dyDescent="0.25">
      <c r="F196" s="91">
        <f t="shared" si="14"/>
        <v>0</v>
      </c>
      <c r="G196" s="91">
        <f t="shared" si="15"/>
        <v>0</v>
      </c>
      <c r="H196" s="91">
        <f t="shared" si="16"/>
        <v>0</v>
      </c>
      <c r="I196" s="92">
        <f t="shared" si="17"/>
        <v>0</v>
      </c>
      <c r="J196" s="91">
        <f t="shared" si="18"/>
        <v>0</v>
      </c>
      <c r="K196" s="93">
        <f t="shared" si="19"/>
        <v>0</v>
      </c>
    </row>
    <row r="197" spans="6:11" x14ac:dyDescent="0.25">
      <c r="F197" s="91">
        <f t="shared" si="14"/>
        <v>0</v>
      </c>
      <c r="G197" s="91">
        <f t="shared" si="15"/>
        <v>0</v>
      </c>
      <c r="H197" s="91">
        <f t="shared" si="16"/>
        <v>0</v>
      </c>
      <c r="I197" s="92">
        <f t="shared" si="17"/>
        <v>0</v>
      </c>
      <c r="J197" s="91">
        <f t="shared" si="18"/>
        <v>0</v>
      </c>
      <c r="K197" s="93">
        <f t="shared" si="19"/>
        <v>0</v>
      </c>
    </row>
    <row r="198" spans="6:11" x14ac:dyDescent="0.25">
      <c r="F198" s="91">
        <f t="shared" ref="F198:F261" si="20">$A$3</f>
        <v>0</v>
      </c>
      <c r="G198" s="91">
        <f t="shared" ref="G198:G261" si="21">$D$3</f>
        <v>0</v>
      </c>
      <c r="H198" s="91">
        <f t="shared" ref="H198:H261" si="22">A198</f>
        <v>0</v>
      </c>
      <c r="I198" s="92">
        <f t="shared" ref="I198:I261" si="23">B198</f>
        <v>0</v>
      </c>
      <c r="J198" s="91">
        <f t="shared" ref="J198:J261" si="24">C198</f>
        <v>0</v>
      </c>
      <c r="K198" s="93">
        <f t="shared" ref="K198:K261" si="25">D198</f>
        <v>0</v>
      </c>
    </row>
    <row r="199" spans="6:11" x14ac:dyDescent="0.25">
      <c r="F199" s="91">
        <f t="shared" si="20"/>
        <v>0</v>
      </c>
      <c r="G199" s="91">
        <f t="shared" si="21"/>
        <v>0</v>
      </c>
      <c r="H199" s="91">
        <f t="shared" si="22"/>
        <v>0</v>
      </c>
      <c r="I199" s="92">
        <f t="shared" si="23"/>
        <v>0</v>
      </c>
      <c r="J199" s="91">
        <f t="shared" si="24"/>
        <v>0</v>
      </c>
      <c r="K199" s="93">
        <f t="shared" si="25"/>
        <v>0</v>
      </c>
    </row>
    <row r="200" spans="6:11" x14ac:dyDescent="0.25">
      <c r="F200" s="91">
        <f t="shared" si="20"/>
        <v>0</v>
      </c>
      <c r="G200" s="91">
        <f t="shared" si="21"/>
        <v>0</v>
      </c>
      <c r="H200" s="91">
        <f t="shared" si="22"/>
        <v>0</v>
      </c>
      <c r="I200" s="92">
        <f t="shared" si="23"/>
        <v>0</v>
      </c>
      <c r="J200" s="91">
        <f t="shared" si="24"/>
        <v>0</v>
      </c>
      <c r="K200" s="93">
        <f t="shared" si="25"/>
        <v>0</v>
      </c>
    </row>
    <row r="201" spans="6:11" x14ac:dyDescent="0.25">
      <c r="F201" s="91">
        <f t="shared" si="20"/>
        <v>0</v>
      </c>
      <c r="G201" s="91">
        <f t="shared" si="21"/>
        <v>0</v>
      </c>
      <c r="H201" s="91">
        <f t="shared" si="22"/>
        <v>0</v>
      </c>
      <c r="I201" s="92">
        <f t="shared" si="23"/>
        <v>0</v>
      </c>
      <c r="J201" s="91">
        <f t="shared" si="24"/>
        <v>0</v>
      </c>
      <c r="K201" s="93">
        <f t="shared" si="25"/>
        <v>0</v>
      </c>
    </row>
    <row r="202" spans="6:11" x14ac:dyDescent="0.25">
      <c r="F202" s="91">
        <f t="shared" si="20"/>
        <v>0</v>
      </c>
      <c r="G202" s="91">
        <f t="shared" si="21"/>
        <v>0</v>
      </c>
      <c r="H202" s="91">
        <f t="shared" si="22"/>
        <v>0</v>
      </c>
      <c r="I202" s="92">
        <f t="shared" si="23"/>
        <v>0</v>
      </c>
      <c r="J202" s="91">
        <f t="shared" si="24"/>
        <v>0</v>
      </c>
      <c r="K202" s="93">
        <f t="shared" si="25"/>
        <v>0</v>
      </c>
    </row>
    <row r="203" spans="6:11" x14ac:dyDescent="0.25">
      <c r="F203" s="91">
        <f t="shared" si="20"/>
        <v>0</v>
      </c>
      <c r="G203" s="91">
        <f t="shared" si="21"/>
        <v>0</v>
      </c>
      <c r="H203" s="91">
        <f t="shared" si="22"/>
        <v>0</v>
      </c>
      <c r="I203" s="92">
        <f t="shared" si="23"/>
        <v>0</v>
      </c>
      <c r="J203" s="91">
        <f t="shared" si="24"/>
        <v>0</v>
      </c>
      <c r="K203" s="93">
        <f t="shared" si="25"/>
        <v>0</v>
      </c>
    </row>
    <row r="204" spans="6:11" x14ac:dyDescent="0.25">
      <c r="F204" s="91">
        <f t="shared" si="20"/>
        <v>0</v>
      </c>
      <c r="G204" s="91">
        <f t="shared" si="21"/>
        <v>0</v>
      </c>
      <c r="H204" s="91">
        <f t="shared" si="22"/>
        <v>0</v>
      </c>
      <c r="I204" s="92">
        <f t="shared" si="23"/>
        <v>0</v>
      </c>
      <c r="J204" s="91">
        <f t="shared" si="24"/>
        <v>0</v>
      </c>
      <c r="K204" s="93">
        <f t="shared" si="25"/>
        <v>0</v>
      </c>
    </row>
    <row r="205" spans="6:11" x14ac:dyDescent="0.25">
      <c r="F205" s="91">
        <f t="shared" si="20"/>
        <v>0</v>
      </c>
      <c r="G205" s="91">
        <f t="shared" si="21"/>
        <v>0</v>
      </c>
      <c r="H205" s="91">
        <f t="shared" si="22"/>
        <v>0</v>
      </c>
      <c r="I205" s="92">
        <f t="shared" si="23"/>
        <v>0</v>
      </c>
      <c r="J205" s="91">
        <f t="shared" si="24"/>
        <v>0</v>
      </c>
      <c r="K205" s="93">
        <f t="shared" si="25"/>
        <v>0</v>
      </c>
    </row>
    <row r="206" spans="6:11" x14ac:dyDescent="0.25">
      <c r="F206" s="91">
        <f t="shared" si="20"/>
        <v>0</v>
      </c>
      <c r="G206" s="91">
        <f t="shared" si="21"/>
        <v>0</v>
      </c>
      <c r="H206" s="91">
        <f t="shared" si="22"/>
        <v>0</v>
      </c>
      <c r="I206" s="92">
        <f t="shared" si="23"/>
        <v>0</v>
      </c>
      <c r="J206" s="91">
        <f t="shared" si="24"/>
        <v>0</v>
      </c>
      <c r="K206" s="93">
        <f t="shared" si="25"/>
        <v>0</v>
      </c>
    </row>
    <row r="207" spans="6:11" x14ac:dyDescent="0.25">
      <c r="F207" s="91">
        <f t="shared" si="20"/>
        <v>0</v>
      </c>
      <c r="G207" s="91">
        <f t="shared" si="21"/>
        <v>0</v>
      </c>
      <c r="H207" s="91">
        <f t="shared" si="22"/>
        <v>0</v>
      </c>
      <c r="I207" s="92">
        <f t="shared" si="23"/>
        <v>0</v>
      </c>
      <c r="J207" s="91">
        <f t="shared" si="24"/>
        <v>0</v>
      </c>
      <c r="K207" s="93">
        <f t="shared" si="25"/>
        <v>0</v>
      </c>
    </row>
    <row r="208" spans="6:11" x14ac:dyDescent="0.25">
      <c r="F208" s="91">
        <f t="shared" si="20"/>
        <v>0</v>
      </c>
      <c r="G208" s="91">
        <f t="shared" si="21"/>
        <v>0</v>
      </c>
      <c r="H208" s="91">
        <f t="shared" si="22"/>
        <v>0</v>
      </c>
      <c r="I208" s="92">
        <f t="shared" si="23"/>
        <v>0</v>
      </c>
      <c r="J208" s="91">
        <f t="shared" si="24"/>
        <v>0</v>
      </c>
      <c r="K208" s="93">
        <f t="shared" si="25"/>
        <v>0</v>
      </c>
    </row>
    <row r="209" spans="6:11" x14ac:dyDescent="0.25">
      <c r="F209" s="91">
        <f t="shared" si="20"/>
        <v>0</v>
      </c>
      <c r="G209" s="91">
        <f t="shared" si="21"/>
        <v>0</v>
      </c>
      <c r="H209" s="91">
        <f t="shared" si="22"/>
        <v>0</v>
      </c>
      <c r="I209" s="92">
        <f t="shared" si="23"/>
        <v>0</v>
      </c>
      <c r="J209" s="91">
        <f t="shared" si="24"/>
        <v>0</v>
      </c>
      <c r="K209" s="93">
        <f t="shared" si="25"/>
        <v>0</v>
      </c>
    </row>
    <row r="210" spans="6:11" x14ac:dyDescent="0.25">
      <c r="F210" s="91">
        <f t="shared" si="20"/>
        <v>0</v>
      </c>
      <c r="G210" s="91">
        <f t="shared" si="21"/>
        <v>0</v>
      </c>
      <c r="H210" s="91">
        <f t="shared" si="22"/>
        <v>0</v>
      </c>
      <c r="I210" s="92">
        <f t="shared" si="23"/>
        <v>0</v>
      </c>
      <c r="J210" s="91">
        <f t="shared" si="24"/>
        <v>0</v>
      </c>
      <c r="K210" s="93">
        <f t="shared" si="25"/>
        <v>0</v>
      </c>
    </row>
    <row r="211" spans="6:11" x14ac:dyDescent="0.25">
      <c r="F211" s="91">
        <f t="shared" si="20"/>
        <v>0</v>
      </c>
      <c r="G211" s="91">
        <f t="shared" si="21"/>
        <v>0</v>
      </c>
      <c r="H211" s="91">
        <f t="shared" si="22"/>
        <v>0</v>
      </c>
      <c r="I211" s="92">
        <f t="shared" si="23"/>
        <v>0</v>
      </c>
      <c r="J211" s="91">
        <f t="shared" si="24"/>
        <v>0</v>
      </c>
      <c r="K211" s="93">
        <f t="shared" si="25"/>
        <v>0</v>
      </c>
    </row>
    <row r="212" spans="6:11" x14ac:dyDescent="0.25">
      <c r="F212" s="91">
        <f t="shared" si="20"/>
        <v>0</v>
      </c>
      <c r="G212" s="91">
        <f t="shared" si="21"/>
        <v>0</v>
      </c>
      <c r="H212" s="91">
        <f t="shared" si="22"/>
        <v>0</v>
      </c>
      <c r="I212" s="92">
        <f t="shared" si="23"/>
        <v>0</v>
      </c>
      <c r="J212" s="91">
        <f t="shared" si="24"/>
        <v>0</v>
      </c>
      <c r="K212" s="93">
        <f t="shared" si="25"/>
        <v>0</v>
      </c>
    </row>
    <row r="213" spans="6:11" x14ac:dyDescent="0.25">
      <c r="F213" s="91">
        <f t="shared" si="20"/>
        <v>0</v>
      </c>
      <c r="G213" s="91">
        <f t="shared" si="21"/>
        <v>0</v>
      </c>
      <c r="H213" s="91">
        <f t="shared" si="22"/>
        <v>0</v>
      </c>
      <c r="I213" s="92">
        <f t="shared" si="23"/>
        <v>0</v>
      </c>
      <c r="J213" s="91">
        <f t="shared" si="24"/>
        <v>0</v>
      </c>
      <c r="K213" s="93">
        <f t="shared" si="25"/>
        <v>0</v>
      </c>
    </row>
    <row r="214" spans="6:11" x14ac:dyDescent="0.25">
      <c r="F214" s="91">
        <f t="shared" si="20"/>
        <v>0</v>
      </c>
      <c r="G214" s="91">
        <f t="shared" si="21"/>
        <v>0</v>
      </c>
      <c r="H214" s="91">
        <f t="shared" si="22"/>
        <v>0</v>
      </c>
      <c r="I214" s="92">
        <f t="shared" si="23"/>
        <v>0</v>
      </c>
      <c r="J214" s="91">
        <f t="shared" si="24"/>
        <v>0</v>
      </c>
      <c r="K214" s="93">
        <f t="shared" si="25"/>
        <v>0</v>
      </c>
    </row>
    <row r="215" spans="6:11" x14ac:dyDescent="0.25">
      <c r="F215" s="91">
        <f t="shared" si="20"/>
        <v>0</v>
      </c>
      <c r="G215" s="91">
        <f t="shared" si="21"/>
        <v>0</v>
      </c>
      <c r="H215" s="91">
        <f t="shared" si="22"/>
        <v>0</v>
      </c>
      <c r="I215" s="92">
        <f t="shared" si="23"/>
        <v>0</v>
      </c>
      <c r="J215" s="91">
        <f t="shared" si="24"/>
        <v>0</v>
      </c>
      <c r="K215" s="93">
        <f t="shared" si="25"/>
        <v>0</v>
      </c>
    </row>
    <row r="216" spans="6:11" x14ac:dyDescent="0.25">
      <c r="F216" s="91">
        <f t="shared" si="20"/>
        <v>0</v>
      </c>
      <c r="G216" s="91">
        <f t="shared" si="21"/>
        <v>0</v>
      </c>
      <c r="H216" s="91">
        <f t="shared" si="22"/>
        <v>0</v>
      </c>
      <c r="I216" s="92">
        <f t="shared" si="23"/>
        <v>0</v>
      </c>
      <c r="J216" s="91">
        <f t="shared" si="24"/>
        <v>0</v>
      </c>
      <c r="K216" s="93">
        <f t="shared" si="25"/>
        <v>0</v>
      </c>
    </row>
    <row r="217" spans="6:11" x14ac:dyDescent="0.25">
      <c r="F217" s="91">
        <f t="shared" si="20"/>
        <v>0</v>
      </c>
      <c r="G217" s="91">
        <f t="shared" si="21"/>
        <v>0</v>
      </c>
      <c r="H217" s="91">
        <f t="shared" si="22"/>
        <v>0</v>
      </c>
      <c r="I217" s="92">
        <f t="shared" si="23"/>
        <v>0</v>
      </c>
      <c r="J217" s="91">
        <f t="shared" si="24"/>
        <v>0</v>
      </c>
      <c r="K217" s="93">
        <f t="shared" si="25"/>
        <v>0</v>
      </c>
    </row>
    <row r="218" spans="6:11" x14ac:dyDescent="0.25">
      <c r="F218" s="91">
        <f t="shared" si="20"/>
        <v>0</v>
      </c>
      <c r="G218" s="91">
        <f t="shared" si="21"/>
        <v>0</v>
      </c>
      <c r="H218" s="91">
        <f t="shared" si="22"/>
        <v>0</v>
      </c>
      <c r="I218" s="92">
        <f t="shared" si="23"/>
        <v>0</v>
      </c>
      <c r="J218" s="91">
        <f t="shared" si="24"/>
        <v>0</v>
      </c>
      <c r="K218" s="93">
        <f t="shared" si="25"/>
        <v>0</v>
      </c>
    </row>
    <row r="219" spans="6:11" x14ac:dyDescent="0.25">
      <c r="F219" s="91">
        <f t="shared" si="20"/>
        <v>0</v>
      </c>
      <c r="G219" s="91">
        <f t="shared" si="21"/>
        <v>0</v>
      </c>
      <c r="H219" s="91">
        <f t="shared" si="22"/>
        <v>0</v>
      </c>
      <c r="I219" s="92">
        <f t="shared" si="23"/>
        <v>0</v>
      </c>
      <c r="J219" s="91">
        <f t="shared" si="24"/>
        <v>0</v>
      </c>
      <c r="K219" s="93">
        <f t="shared" si="25"/>
        <v>0</v>
      </c>
    </row>
    <row r="220" spans="6:11" x14ac:dyDescent="0.25">
      <c r="F220" s="91">
        <f t="shared" si="20"/>
        <v>0</v>
      </c>
      <c r="G220" s="91">
        <f t="shared" si="21"/>
        <v>0</v>
      </c>
      <c r="H220" s="91">
        <f t="shared" si="22"/>
        <v>0</v>
      </c>
      <c r="I220" s="92">
        <f t="shared" si="23"/>
        <v>0</v>
      </c>
      <c r="J220" s="91">
        <f t="shared" si="24"/>
        <v>0</v>
      </c>
      <c r="K220" s="93">
        <f t="shared" si="25"/>
        <v>0</v>
      </c>
    </row>
    <row r="221" spans="6:11" x14ac:dyDescent="0.25">
      <c r="F221" s="91">
        <f t="shared" si="20"/>
        <v>0</v>
      </c>
      <c r="G221" s="91">
        <f t="shared" si="21"/>
        <v>0</v>
      </c>
      <c r="H221" s="91">
        <f t="shared" si="22"/>
        <v>0</v>
      </c>
      <c r="I221" s="92">
        <f t="shared" si="23"/>
        <v>0</v>
      </c>
      <c r="J221" s="91">
        <f t="shared" si="24"/>
        <v>0</v>
      </c>
      <c r="K221" s="93">
        <f t="shared" si="25"/>
        <v>0</v>
      </c>
    </row>
    <row r="222" spans="6:11" x14ac:dyDescent="0.25">
      <c r="F222" s="91">
        <f t="shared" si="20"/>
        <v>0</v>
      </c>
      <c r="G222" s="91">
        <f t="shared" si="21"/>
        <v>0</v>
      </c>
      <c r="H222" s="91">
        <f t="shared" si="22"/>
        <v>0</v>
      </c>
      <c r="I222" s="92">
        <f t="shared" si="23"/>
        <v>0</v>
      </c>
      <c r="J222" s="91">
        <f t="shared" si="24"/>
        <v>0</v>
      </c>
      <c r="K222" s="93">
        <f t="shared" si="25"/>
        <v>0</v>
      </c>
    </row>
    <row r="223" spans="6:11" x14ac:dyDescent="0.25">
      <c r="F223" s="91">
        <f t="shared" si="20"/>
        <v>0</v>
      </c>
      <c r="G223" s="91">
        <f t="shared" si="21"/>
        <v>0</v>
      </c>
      <c r="H223" s="91">
        <f t="shared" si="22"/>
        <v>0</v>
      </c>
      <c r="I223" s="92">
        <f t="shared" si="23"/>
        <v>0</v>
      </c>
      <c r="J223" s="91">
        <f t="shared" si="24"/>
        <v>0</v>
      </c>
      <c r="K223" s="93">
        <f t="shared" si="25"/>
        <v>0</v>
      </c>
    </row>
    <row r="224" spans="6:11" x14ac:dyDescent="0.25">
      <c r="F224" s="91">
        <f t="shared" si="20"/>
        <v>0</v>
      </c>
      <c r="G224" s="91">
        <f t="shared" si="21"/>
        <v>0</v>
      </c>
      <c r="H224" s="91">
        <f t="shared" si="22"/>
        <v>0</v>
      </c>
      <c r="I224" s="92">
        <f t="shared" si="23"/>
        <v>0</v>
      </c>
      <c r="J224" s="91">
        <f t="shared" si="24"/>
        <v>0</v>
      </c>
      <c r="K224" s="93">
        <f t="shared" si="25"/>
        <v>0</v>
      </c>
    </row>
    <row r="225" spans="6:11" x14ac:dyDescent="0.25">
      <c r="F225" s="91">
        <f t="shared" si="20"/>
        <v>0</v>
      </c>
      <c r="G225" s="91">
        <f t="shared" si="21"/>
        <v>0</v>
      </c>
      <c r="H225" s="91">
        <f t="shared" si="22"/>
        <v>0</v>
      </c>
      <c r="I225" s="92">
        <f t="shared" si="23"/>
        <v>0</v>
      </c>
      <c r="J225" s="91">
        <f t="shared" si="24"/>
        <v>0</v>
      </c>
      <c r="K225" s="93">
        <f t="shared" si="25"/>
        <v>0</v>
      </c>
    </row>
    <row r="226" spans="6:11" x14ac:dyDescent="0.25">
      <c r="F226" s="91">
        <f t="shared" si="20"/>
        <v>0</v>
      </c>
      <c r="G226" s="91">
        <f t="shared" si="21"/>
        <v>0</v>
      </c>
      <c r="H226" s="91">
        <f t="shared" si="22"/>
        <v>0</v>
      </c>
      <c r="I226" s="92">
        <f t="shared" si="23"/>
        <v>0</v>
      </c>
      <c r="J226" s="91">
        <f t="shared" si="24"/>
        <v>0</v>
      </c>
      <c r="K226" s="93">
        <f t="shared" si="25"/>
        <v>0</v>
      </c>
    </row>
    <row r="227" spans="6:11" x14ac:dyDescent="0.25">
      <c r="F227" s="91">
        <f t="shared" si="20"/>
        <v>0</v>
      </c>
      <c r="G227" s="91">
        <f t="shared" si="21"/>
        <v>0</v>
      </c>
      <c r="H227" s="91">
        <f t="shared" si="22"/>
        <v>0</v>
      </c>
      <c r="I227" s="92">
        <f t="shared" si="23"/>
        <v>0</v>
      </c>
      <c r="J227" s="91">
        <f t="shared" si="24"/>
        <v>0</v>
      </c>
      <c r="K227" s="93">
        <f t="shared" si="25"/>
        <v>0</v>
      </c>
    </row>
    <row r="228" spans="6:11" x14ac:dyDescent="0.25">
      <c r="F228" s="91">
        <f t="shared" si="20"/>
        <v>0</v>
      </c>
      <c r="G228" s="91">
        <f t="shared" si="21"/>
        <v>0</v>
      </c>
      <c r="H228" s="91">
        <f t="shared" si="22"/>
        <v>0</v>
      </c>
      <c r="I228" s="92">
        <f t="shared" si="23"/>
        <v>0</v>
      </c>
      <c r="J228" s="91">
        <f t="shared" si="24"/>
        <v>0</v>
      </c>
      <c r="K228" s="93">
        <f t="shared" si="25"/>
        <v>0</v>
      </c>
    </row>
    <row r="229" spans="6:11" x14ac:dyDescent="0.25">
      <c r="F229" s="91">
        <f t="shared" si="20"/>
        <v>0</v>
      </c>
      <c r="G229" s="91">
        <f t="shared" si="21"/>
        <v>0</v>
      </c>
      <c r="H229" s="91">
        <f t="shared" si="22"/>
        <v>0</v>
      </c>
      <c r="I229" s="92">
        <f t="shared" si="23"/>
        <v>0</v>
      </c>
      <c r="J229" s="91">
        <f t="shared" si="24"/>
        <v>0</v>
      </c>
      <c r="K229" s="93">
        <f t="shared" si="25"/>
        <v>0</v>
      </c>
    </row>
    <row r="230" spans="6:11" x14ac:dyDescent="0.25">
      <c r="F230" s="91">
        <f t="shared" si="20"/>
        <v>0</v>
      </c>
      <c r="G230" s="91">
        <f t="shared" si="21"/>
        <v>0</v>
      </c>
      <c r="H230" s="91">
        <f t="shared" si="22"/>
        <v>0</v>
      </c>
      <c r="I230" s="92">
        <f t="shared" si="23"/>
        <v>0</v>
      </c>
      <c r="J230" s="91">
        <f t="shared" si="24"/>
        <v>0</v>
      </c>
      <c r="K230" s="93">
        <f t="shared" si="25"/>
        <v>0</v>
      </c>
    </row>
    <row r="231" spans="6:11" x14ac:dyDescent="0.25">
      <c r="F231" s="91">
        <f t="shared" si="20"/>
        <v>0</v>
      </c>
      <c r="G231" s="91">
        <f t="shared" si="21"/>
        <v>0</v>
      </c>
      <c r="H231" s="91">
        <f t="shared" si="22"/>
        <v>0</v>
      </c>
      <c r="I231" s="92">
        <f t="shared" si="23"/>
        <v>0</v>
      </c>
      <c r="J231" s="91">
        <f t="shared" si="24"/>
        <v>0</v>
      </c>
      <c r="K231" s="93">
        <f t="shared" si="25"/>
        <v>0</v>
      </c>
    </row>
    <row r="232" spans="6:11" x14ac:dyDescent="0.25">
      <c r="F232" s="91">
        <f t="shared" si="20"/>
        <v>0</v>
      </c>
      <c r="G232" s="91">
        <f t="shared" si="21"/>
        <v>0</v>
      </c>
      <c r="H232" s="91">
        <f t="shared" si="22"/>
        <v>0</v>
      </c>
      <c r="I232" s="92">
        <f t="shared" si="23"/>
        <v>0</v>
      </c>
      <c r="J232" s="91">
        <f t="shared" si="24"/>
        <v>0</v>
      </c>
      <c r="K232" s="93">
        <f t="shared" si="25"/>
        <v>0</v>
      </c>
    </row>
    <row r="233" spans="6:11" x14ac:dyDescent="0.25">
      <c r="F233" s="91">
        <f t="shared" si="20"/>
        <v>0</v>
      </c>
      <c r="G233" s="91">
        <f t="shared" si="21"/>
        <v>0</v>
      </c>
      <c r="H233" s="91">
        <f t="shared" si="22"/>
        <v>0</v>
      </c>
      <c r="I233" s="92">
        <f t="shared" si="23"/>
        <v>0</v>
      </c>
      <c r="J233" s="91">
        <f t="shared" si="24"/>
        <v>0</v>
      </c>
      <c r="K233" s="93">
        <f t="shared" si="25"/>
        <v>0</v>
      </c>
    </row>
    <row r="234" spans="6:11" x14ac:dyDescent="0.25">
      <c r="F234" s="91">
        <f t="shared" si="20"/>
        <v>0</v>
      </c>
      <c r="G234" s="91">
        <f t="shared" si="21"/>
        <v>0</v>
      </c>
      <c r="H234" s="91">
        <f t="shared" si="22"/>
        <v>0</v>
      </c>
      <c r="I234" s="92">
        <f t="shared" si="23"/>
        <v>0</v>
      </c>
      <c r="J234" s="91">
        <f t="shared" si="24"/>
        <v>0</v>
      </c>
      <c r="K234" s="93">
        <f t="shared" si="25"/>
        <v>0</v>
      </c>
    </row>
    <row r="235" spans="6:11" x14ac:dyDescent="0.25">
      <c r="F235" s="91">
        <f t="shared" si="20"/>
        <v>0</v>
      </c>
      <c r="G235" s="91">
        <f t="shared" si="21"/>
        <v>0</v>
      </c>
      <c r="H235" s="91">
        <f t="shared" si="22"/>
        <v>0</v>
      </c>
      <c r="I235" s="92">
        <f t="shared" si="23"/>
        <v>0</v>
      </c>
      <c r="J235" s="91">
        <f t="shared" si="24"/>
        <v>0</v>
      </c>
      <c r="K235" s="93">
        <f t="shared" si="25"/>
        <v>0</v>
      </c>
    </row>
    <row r="236" spans="6:11" x14ac:dyDescent="0.25">
      <c r="F236" s="91">
        <f t="shared" si="20"/>
        <v>0</v>
      </c>
      <c r="G236" s="91">
        <f t="shared" si="21"/>
        <v>0</v>
      </c>
      <c r="H236" s="91">
        <f t="shared" si="22"/>
        <v>0</v>
      </c>
      <c r="I236" s="92">
        <f t="shared" si="23"/>
        <v>0</v>
      </c>
      <c r="J236" s="91">
        <f t="shared" si="24"/>
        <v>0</v>
      </c>
      <c r="K236" s="93">
        <f t="shared" si="25"/>
        <v>0</v>
      </c>
    </row>
    <row r="237" spans="6:11" x14ac:dyDescent="0.25">
      <c r="F237" s="91">
        <f t="shared" si="20"/>
        <v>0</v>
      </c>
      <c r="G237" s="91">
        <f t="shared" si="21"/>
        <v>0</v>
      </c>
      <c r="H237" s="91">
        <f t="shared" si="22"/>
        <v>0</v>
      </c>
      <c r="I237" s="92">
        <f t="shared" si="23"/>
        <v>0</v>
      </c>
      <c r="J237" s="91">
        <f t="shared" si="24"/>
        <v>0</v>
      </c>
      <c r="K237" s="93">
        <f t="shared" si="25"/>
        <v>0</v>
      </c>
    </row>
    <row r="238" spans="6:11" x14ac:dyDescent="0.25">
      <c r="F238" s="91">
        <f t="shared" si="20"/>
        <v>0</v>
      </c>
      <c r="G238" s="91">
        <f t="shared" si="21"/>
        <v>0</v>
      </c>
      <c r="H238" s="91">
        <f t="shared" si="22"/>
        <v>0</v>
      </c>
      <c r="I238" s="92">
        <f t="shared" si="23"/>
        <v>0</v>
      </c>
      <c r="J238" s="91">
        <f t="shared" si="24"/>
        <v>0</v>
      </c>
      <c r="K238" s="93">
        <f t="shared" si="25"/>
        <v>0</v>
      </c>
    </row>
    <row r="239" spans="6:11" x14ac:dyDescent="0.25">
      <c r="F239" s="91">
        <f t="shared" si="20"/>
        <v>0</v>
      </c>
      <c r="G239" s="91">
        <f t="shared" si="21"/>
        <v>0</v>
      </c>
      <c r="H239" s="91">
        <f t="shared" si="22"/>
        <v>0</v>
      </c>
      <c r="I239" s="92">
        <f t="shared" si="23"/>
        <v>0</v>
      </c>
      <c r="J239" s="91">
        <f t="shared" si="24"/>
        <v>0</v>
      </c>
      <c r="K239" s="93">
        <f t="shared" si="25"/>
        <v>0</v>
      </c>
    </row>
    <row r="240" spans="6:11" x14ac:dyDescent="0.25">
      <c r="F240" s="91">
        <f t="shared" si="20"/>
        <v>0</v>
      </c>
      <c r="G240" s="91">
        <f t="shared" si="21"/>
        <v>0</v>
      </c>
      <c r="H240" s="91">
        <f t="shared" si="22"/>
        <v>0</v>
      </c>
      <c r="I240" s="92">
        <f t="shared" si="23"/>
        <v>0</v>
      </c>
      <c r="J240" s="91">
        <f t="shared" si="24"/>
        <v>0</v>
      </c>
      <c r="K240" s="93">
        <f t="shared" si="25"/>
        <v>0</v>
      </c>
    </row>
    <row r="241" spans="6:11" x14ac:dyDescent="0.25">
      <c r="F241" s="91">
        <f t="shared" si="20"/>
        <v>0</v>
      </c>
      <c r="G241" s="91">
        <f t="shared" si="21"/>
        <v>0</v>
      </c>
      <c r="H241" s="91">
        <f t="shared" si="22"/>
        <v>0</v>
      </c>
      <c r="I241" s="92">
        <f t="shared" si="23"/>
        <v>0</v>
      </c>
      <c r="J241" s="91">
        <f t="shared" si="24"/>
        <v>0</v>
      </c>
      <c r="K241" s="93">
        <f t="shared" si="25"/>
        <v>0</v>
      </c>
    </row>
    <row r="242" spans="6:11" x14ac:dyDescent="0.25">
      <c r="F242" s="91">
        <f t="shared" si="20"/>
        <v>0</v>
      </c>
      <c r="G242" s="91">
        <f t="shared" si="21"/>
        <v>0</v>
      </c>
      <c r="H242" s="91">
        <f t="shared" si="22"/>
        <v>0</v>
      </c>
      <c r="I242" s="92">
        <f t="shared" si="23"/>
        <v>0</v>
      </c>
      <c r="J242" s="91">
        <f t="shared" si="24"/>
        <v>0</v>
      </c>
      <c r="K242" s="93">
        <f t="shared" si="25"/>
        <v>0</v>
      </c>
    </row>
    <row r="243" spans="6:11" x14ac:dyDescent="0.25">
      <c r="F243" s="91">
        <f t="shared" si="20"/>
        <v>0</v>
      </c>
      <c r="G243" s="91">
        <f t="shared" si="21"/>
        <v>0</v>
      </c>
      <c r="H243" s="91">
        <f t="shared" si="22"/>
        <v>0</v>
      </c>
      <c r="I243" s="92">
        <f t="shared" si="23"/>
        <v>0</v>
      </c>
      <c r="J243" s="91">
        <f t="shared" si="24"/>
        <v>0</v>
      </c>
      <c r="K243" s="93">
        <f t="shared" si="25"/>
        <v>0</v>
      </c>
    </row>
    <row r="244" spans="6:11" x14ac:dyDescent="0.25">
      <c r="F244" s="91">
        <f t="shared" si="20"/>
        <v>0</v>
      </c>
      <c r="G244" s="91">
        <f t="shared" si="21"/>
        <v>0</v>
      </c>
      <c r="H244" s="91">
        <f t="shared" si="22"/>
        <v>0</v>
      </c>
      <c r="I244" s="92">
        <f t="shared" si="23"/>
        <v>0</v>
      </c>
      <c r="J244" s="91">
        <f t="shared" si="24"/>
        <v>0</v>
      </c>
      <c r="K244" s="93">
        <f t="shared" si="25"/>
        <v>0</v>
      </c>
    </row>
    <row r="245" spans="6:11" x14ac:dyDescent="0.25">
      <c r="F245" s="91">
        <f t="shared" si="20"/>
        <v>0</v>
      </c>
      <c r="G245" s="91">
        <f t="shared" si="21"/>
        <v>0</v>
      </c>
      <c r="H245" s="91">
        <f t="shared" si="22"/>
        <v>0</v>
      </c>
      <c r="I245" s="92">
        <f t="shared" si="23"/>
        <v>0</v>
      </c>
      <c r="J245" s="91">
        <f t="shared" si="24"/>
        <v>0</v>
      </c>
      <c r="K245" s="93">
        <f t="shared" si="25"/>
        <v>0</v>
      </c>
    </row>
    <row r="246" spans="6:11" x14ac:dyDescent="0.25">
      <c r="F246" s="91">
        <f t="shared" si="20"/>
        <v>0</v>
      </c>
      <c r="G246" s="91">
        <f t="shared" si="21"/>
        <v>0</v>
      </c>
      <c r="H246" s="91">
        <f t="shared" si="22"/>
        <v>0</v>
      </c>
      <c r="I246" s="92">
        <f t="shared" si="23"/>
        <v>0</v>
      </c>
      <c r="J246" s="91">
        <f t="shared" si="24"/>
        <v>0</v>
      </c>
      <c r="K246" s="93">
        <f t="shared" si="25"/>
        <v>0</v>
      </c>
    </row>
    <row r="247" spans="6:11" x14ac:dyDescent="0.25">
      <c r="F247" s="91">
        <f t="shared" si="20"/>
        <v>0</v>
      </c>
      <c r="G247" s="91">
        <f t="shared" si="21"/>
        <v>0</v>
      </c>
      <c r="H247" s="91">
        <f t="shared" si="22"/>
        <v>0</v>
      </c>
      <c r="I247" s="92">
        <f t="shared" si="23"/>
        <v>0</v>
      </c>
      <c r="J247" s="91">
        <f t="shared" si="24"/>
        <v>0</v>
      </c>
      <c r="K247" s="93">
        <f t="shared" si="25"/>
        <v>0</v>
      </c>
    </row>
    <row r="248" spans="6:11" x14ac:dyDescent="0.25">
      <c r="F248" s="91">
        <f t="shared" si="20"/>
        <v>0</v>
      </c>
      <c r="G248" s="91">
        <f t="shared" si="21"/>
        <v>0</v>
      </c>
      <c r="H248" s="91">
        <f t="shared" si="22"/>
        <v>0</v>
      </c>
      <c r="I248" s="92">
        <f t="shared" si="23"/>
        <v>0</v>
      </c>
      <c r="J248" s="91">
        <f t="shared" si="24"/>
        <v>0</v>
      </c>
      <c r="K248" s="93">
        <f t="shared" si="25"/>
        <v>0</v>
      </c>
    </row>
    <row r="249" spans="6:11" x14ac:dyDescent="0.25">
      <c r="F249" s="91">
        <f t="shared" si="20"/>
        <v>0</v>
      </c>
      <c r="G249" s="91">
        <f t="shared" si="21"/>
        <v>0</v>
      </c>
      <c r="H249" s="91">
        <f t="shared" si="22"/>
        <v>0</v>
      </c>
      <c r="I249" s="92">
        <f t="shared" si="23"/>
        <v>0</v>
      </c>
      <c r="J249" s="91">
        <f t="shared" si="24"/>
        <v>0</v>
      </c>
      <c r="K249" s="93">
        <f t="shared" si="25"/>
        <v>0</v>
      </c>
    </row>
    <row r="250" spans="6:11" x14ac:dyDescent="0.25">
      <c r="F250" s="91">
        <f t="shared" si="20"/>
        <v>0</v>
      </c>
      <c r="G250" s="91">
        <f t="shared" si="21"/>
        <v>0</v>
      </c>
      <c r="H250" s="91">
        <f t="shared" si="22"/>
        <v>0</v>
      </c>
      <c r="I250" s="92">
        <f t="shared" si="23"/>
        <v>0</v>
      </c>
      <c r="J250" s="91">
        <f t="shared" si="24"/>
        <v>0</v>
      </c>
      <c r="K250" s="93">
        <f t="shared" si="25"/>
        <v>0</v>
      </c>
    </row>
    <row r="251" spans="6:11" x14ac:dyDescent="0.25">
      <c r="F251" s="91">
        <f t="shared" si="20"/>
        <v>0</v>
      </c>
      <c r="G251" s="91">
        <f t="shared" si="21"/>
        <v>0</v>
      </c>
      <c r="H251" s="91">
        <f t="shared" si="22"/>
        <v>0</v>
      </c>
      <c r="I251" s="92">
        <f t="shared" si="23"/>
        <v>0</v>
      </c>
      <c r="J251" s="91">
        <f t="shared" si="24"/>
        <v>0</v>
      </c>
      <c r="K251" s="93">
        <f t="shared" si="25"/>
        <v>0</v>
      </c>
    </row>
    <row r="252" spans="6:11" x14ac:dyDescent="0.25">
      <c r="F252" s="91">
        <f t="shared" si="20"/>
        <v>0</v>
      </c>
      <c r="G252" s="91">
        <f t="shared" si="21"/>
        <v>0</v>
      </c>
      <c r="H252" s="91">
        <f t="shared" si="22"/>
        <v>0</v>
      </c>
      <c r="I252" s="92">
        <f t="shared" si="23"/>
        <v>0</v>
      </c>
      <c r="J252" s="91">
        <f t="shared" si="24"/>
        <v>0</v>
      </c>
      <c r="K252" s="93">
        <f t="shared" si="25"/>
        <v>0</v>
      </c>
    </row>
    <row r="253" spans="6:11" x14ac:dyDescent="0.25">
      <c r="F253" s="91">
        <f t="shared" si="20"/>
        <v>0</v>
      </c>
      <c r="G253" s="91">
        <f t="shared" si="21"/>
        <v>0</v>
      </c>
      <c r="H253" s="91">
        <f t="shared" si="22"/>
        <v>0</v>
      </c>
      <c r="I253" s="92">
        <f t="shared" si="23"/>
        <v>0</v>
      </c>
      <c r="J253" s="91">
        <f t="shared" si="24"/>
        <v>0</v>
      </c>
      <c r="K253" s="93">
        <f t="shared" si="25"/>
        <v>0</v>
      </c>
    </row>
    <row r="254" spans="6:11" x14ac:dyDescent="0.25">
      <c r="F254" s="91">
        <f t="shared" si="20"/>
        <v>0</v>
      </c>
      <c r="G254" s="91">
        <f t="shared" si="21"/>
        <v>0</v>
      </c>
      <c r="H254" s="91">
        <f t="shared" si="22"/>
        <v>0</v>
      </c>
      <c r="I254" s="92">
        <f t="shared" si="23"/>
        <v>0</v>
      </c>
      <c r="J254" s="91">
        <f t="shared" si="24"/>
        <v>0</v>
      </c>
      <c r="K254" s="93">
        <f t="shared" si="25"/>
        <v>0</v>
      </c>
    </row>
    <row r="255" spans="6:11" x14ac:dyDescent="0.25">
      <c r="F255" s="91">
        <f t="shared" si="20"/>
        <v>0</v>
      </c>
      <c r="G255" s="91">
        <f t="shared" si="21"/>
        <v>0</v>
      </c>
      <c r="H255" s="91">
        <f t="shared" si="22"/>
        <v>0</v>
      </c>
      <c r="I255" s="92">
        <f t="shared" si="23"/>
        <v>0</v>
      </c>
      <c r="J255" s="91">
        <f t="shared" si="24"/>
        <v>0</v>
      </c>
      <c r="K255" s="93">
        <f t="shared" si="25"/>
        <v>0</v>
      </c>
    </row>
    <row r="256" spans="6:11" x14ac:dyDescent="0.25">
      <c r="F256" s="91">
        <f t="shared" si="20"/>
        <v>0</v>
      </c>
      <c r="G256" s="91">
        <f t="shared" si="21"/>
        <v>0</v>
      </c>
      <c r="H256" s="91">
        <f t="shared" si="22"/>
        <v>0</v>
      </c>
      <c r="I256" s="92">
        <f t="shared" si="23"/>
        <v>0</v>
      </c>
      <c r="J256" s="91">
        <f t="shared" si="24"/>
        <v>0</v>
      </c>
      <c r="K256" s="93">
        <f t="shared" si="25"/>
        <v>0</v>
      </c>
    </row>
    <row r="257" spans="6:11" x14ac:dyDescent="0.25">
      <c r="F257" s="91">
        <f t="shared" si="20"/>
        <v>0</v>
      </c>
      <c r="G257" s="91">
        <f t="shared" si="21"/>
        <v>0</v>
      </c>
      <c r="H257" s="91">
        <f t="shared" si="22"/>
        <v>0</v>
      </c>
      <c r="I257" s="92">
        <f t="shared" si="23"/>
        <v>0</v>
      </c>
      <c r="J257" s="91">
        <f t="shared" si="24"/>
        <v>0</v>
      </c>
      <c r="K257" s="93">
        <f t="shared" si="25"/>
        <v>0</v>
      </c>
    </row>
    <row r="258" spans="6:11" x14ac:dyDescent="0.25">
      <c r="F258" s="91">
        <f t="shared" si="20"/>
        <v>0</v>
      </c>
      <c r="G258" s="91">
        <f t="shared" si="21"/>
        <v>0</v>
      </c>
      <c r="H258" s="91">
        <f t="shared" si="22"/>
        <v>0</v>
      </c>
      <c r="I258" s="92">
        <f t="shared" si="23"/>
        <v>0</v>
      </c>
      <c r="J258" s="91">
        <f t="shared" si="24"/>
        <v>0</v>
      </c>
      <c r="K258" s="93">
        <f t="shared" si="25"/>
        <v>0</v>
      </c>
    </row>
    <row r="259" spans="6:11" x14ac:dyDescent="0.25">
      <c r="F259" s="91">
        <f t="shared" si="20"/>
        <v>0</v>
      </c>
      <c r="G259" s="91">
        <f t="shared" si="21"/>
        <v>0</v>
      </c>
      <c r="H259" s="91">
        <f t="shared" si="22"/>
        <v>0</v>
      </c>
      <c r="I259" s="92">
        <f t="shared" si="23"/>
        <v>0</v>
      </c>
      <c r="J259" s="91">
        <f t="shared" si="24"/>
        <v>0</v>
      </c>
      <c r="K259" s="93">
        <f t="shared" si="25"/>
        <v>0</v>
      </c>
    </row>
    <row r="260" spans="6:11" x14ac:dyDescent="0.25">
      <c r="F260" s="91">
        <f t="shared" si="20"/>
        <v>0</v>
      </c>
      <c r="G260" s="91">
        <f t="shared" si="21"/>
        <v>0</v>
      </c>
      <c r="H260" s="91">
        <f t="shared" si="22"/>
        <v>0</v>
      </c>
      <c r="I260" s="92">
        <f t="shared" si="23"/>
        <v>0</v>
      </c>
      <c r="J260" s="91">
        <f t="shared" si="24"/>
        <v>0</v>
      </c>
      <c r="K260" s="93">
        <f t="shared" si="25"/>
        <v>0</v>
      </c>
    </row>
    <row r="261" spans="6:11" x14ac:dyDescent="0.25">
      <c r="F261" s="91">
        <f t="shared" si="20"/>
        <v>0</v>
      </c>
      <c r="G261" s="91">
        <f t="shared" si="21"/>
        <v>0</v>
      </c>
      <c r="H261" s="91">
        <f t="shared" si="22"/>
        <v>0</v>
      </c>
      <c r="I261" s="92">
        <f t="shared" si="23"/>
        <v>0</v>
      </c>
      <c r="J261" s="91">
        <f t="shared" si="24"/>
        <v>0</v>
      </c>
      <c r="K261" s="93">
        <f t="shared" si="25"/>
        <v>0</v>
      </c>
    </row>
    <row r="262" spans="6:11" x14ac:dyDescent="0.25">
      <c r="F262" s="91">
        <f t="shared" ref="F262:F318" si="26">$A$3</f>
        <v>0</v>
      </c>
      <c r="G262" s="91">
        <f t="shared" ref="G262:G318" si="27">$D$3</f>
        <v>0</v>
      </c>
      <c r="H262" s="91">
        <f t="shared" ref="H262:H318" si="28">A262</f>
        <v>0</v>
      </c>
      <c r="I262" s="92">
        <f t="shared" ref="I262:I318" si="29">B262</f>
        <v>0</v>
      </c>
      <c r="J262" s="91">
        <f t="shared" ref="J262:J318" si="30">C262</f>
        <v>0</v>
      </c>
      <c r="K262" s="93">
        <f t="shared" ref="K262:K318" si="31">D262</f>
        <v>0</v>
      </c>
    </row>
    <row r="263" spans="6:11" x14ac:dyDescent="0.25">
      <c r="F263" s="91">
        <f t="shared" si="26"/>
        <v>0</v>
      </c>
      <c r="G263" s="91">
        <f t="shared" si="27"/>
        <v>0</v>
      </c>
      <c r="H263" s="91">
        <f t="shared" si="28"/>
        <v>0</v>
      </c>
      <c r="I263" s="92">
        <f t="shared" si="29"/>
        <v>0</v>
      </c>
      <c r="J263" s="91">
        <f t="shared" si="30"/>
        <v>0</v>
      </c>
      <c r="K263" s="93">
        <f t="shared" si="31"/>
        <v>0</v>
      </c>
    </row>
    <row r="264" spans="6:11" x14ac:dyDescent="0.25">
      <c r="F264" s="91">
        <f t="shared" si="26"/>
        <v>0</v>
      </c>
      <c r="G264" s="91">
        <f t="shared" si="27"/>
        <v>0</v>
      </c>
      <c r="H264" s="91">
        <f t="shared" si="28"/>
        <v>0</v>
      </c>
      <c r="I264" s="92">
        <f t="shared" si="29"/>
        <v>0</v>
      </c>
      <c r="J264" s="91">
        <f t="shared" si="30"/>
        <v>0</v>
      </c>
      <c r="K264" s="93">
        <f t="shared" si="31"/>
        <v>0</v>
      </c>
    </row>
    <row r="265" spans="6:11" x14ac:dyDescent="0.25">
      <c r="F265" s="91">
        <f t="shared" si="26"/>
        <v>0</v>
      </c>
      <c r="G265" s="91">
        <f t="shared" si="27"/>
        <v>0</v>
      </c>
      <c r="H265" s="91">
        <f t="shared" si="28"/>
        <v>0</v>
      </c>
      <c r="I265" s="92">
        <f t="shared" si="29"/>
        <v>0</v>
      </c>
      <c r="J265" s="91">
        <f t="shared" si="30"/>
        <v>0</v>
      </c>
      <c r="K265" s="93">
        <f t="shared" si="31"/>
        <v>0</v>
      </c>
    </row>
    <row r="266" spans="6:11" x14ac:dyDescent="0.25">
      <c r="F266" s="91">
        <f t="shared" si="26"/>
        <v>0</v>
      </c>
      <c r="G266" s="91">
        <f t="shared" si="27"/>
        <v>0</v>
      </c>
      <c r="H266" s="91">
        <f t="shared" si="28"/>
        <v>0</v>
      </c>
      <c r="I266" s="92">
        <f t="shared" si="29"/>
        <v>0</v>
      </c>
      <c r="J266" s="91">
        <f t="shared" si="30"/>
        <v>0</v>
      </c>
      <c r="K266" s="93">
        <f t="shared" si="31"/>
        <v>0</v>
      </c>
    </row>
    <row r="267" spans="6:11" x14ac:dyDescent="0.25">
      <c r="F267" s="91">
        <f t="shared" si="26"/>
        <v>0</v>
      </c>
      <c r="G267" s="91">
        <f t="shared" si="27"/>
        <v>0</v>
      </c>
      <c r="H267" s="91">
        <f t="shared" si="28"/>
        <v>0</v>
      </c>
      <c r="I267" s="92">
        <f t="shared" si="29"/>
        <v>0</v>
      </c>
      <c r="J267" s="91">
        <f t="shared" si="30"/>
        <v>0</v>
      </c>
      <c r="K267" s="93">
        <f t="shared" si="31"/>
        <v>0</v>
      </c>
    </row>
    <row r="268" spans="6:11" x14ac:dyDescent="0.25">
      <c r="F268" s="91">
        <f t="shared" si="26"/>
        <v>0</v>
      </c>
      <c r="G268" s="91">
        <f t="shared" si="27"/>
        <v>0</v>
      </c>
      <c r="H268" s="91">
        <f t="shared" si="28"/>
        <v>0</v>
      </c>
      <c r="I268" s="92">
        <f t="shared" si="29"/>
        <v>0</v>
      </c>
      <c r="J268" s="91">
        <f t="shared" si="30"/>
        <v>0</v>
      </c>
      <c r="K268" s="93">
        <f t="shared" si="31"/>
        <v>0</v>
      </c>
    </row>
    <row r="269" spans="6:11" x14ac:dyDescent="0.25">
      <c r="F269" s="91">
        <f t="shared" si="26"/>
        <v>0</v>
      </c>
      <c r="G269" s="91">
        <f t="shared" si="27"/>
        <v>0</v>
      </c>
      <c r="H269" s="91">
        <f t="shared" si="28"/>
        <v>0</v>
      </c>
      <c r="I269" s="92">
        <f t="shared" si="29"/>
        <v>0</v>
      </c>
      <c r="J269" s="91">
        <f t="shared" si="30"/>
        <v>0</v>
      </c>
      <c r="K269" s="93">
        <f t="shared" si="31"/>
        <v>0</v>
      </c>
    </row>
    <row r="270" spans="6:11" x14ac:dyDescent="0.25">
      <c r="F270" s="91">
        <f t="shared" si="26"/>
        <v>0</v>
      </c>
      <c r="G270" s="91">
        <f t="shared" si="27"/>
        <v>0</v>
      </c>
      <c r="H270" s="91">
        <f t="shared" si="28"/>
        <v>0</v>
      </c>
      <c r="I270" s="92">
        <f t="shared" si="29"/>
        <v>0</v>
      </c>
      <c r="J270" s="91">
        <f t="shared" si="30"/>
        <v>0</v>
      </c>
      <c r="K270" s="93">
        <f t="shared" si="31"/>
        <v>0</v>
      </c>
    </row>
    <row r="271" spans="6:11" x14ac:dyDescent="0.25">
      <c r="F271" s="91">
        <f t="shared" si="26"/>
        <v>0</v>
      </c>
      <c r="G271" s="91">
        <f t="shared" si="27"/>
        <v>0</v>
      </c>
      <c r="H271" s="91">
        <f t="shared" si="28"/>
        <v>0</v>
      </c>
      <c r="I271" s="92">
        <f t="shared" si="29"/>
        <v>0</v>
      </c>
      <c r="J271" s="91">
        <f t="shared" si="30"/>
        <v>0</v>
      </c>
      <c r="K271" s="93">
        <f t="shared" si="31"/>
        <v>0</v>
      </c>
    </row>
    <row r="272" spans="6:11" x14ac:dyDescent="0.25">
      <c r="F272" s="91">
        <f t="shared" si="26"/>
        <v>0</v>
      </c>
      <c r="G272" s="91">
        <f t="shared" si="27"/>
        <v>0</v>
      </c>
      <c r="H272" s="91">
        <f t="shared" si="28"/>
        <v>0</v>
      </c>
      <c r="I272" s="92">
        <f t="shared" si="29"/>
        <v>0</v>
      </c>
      <c r="J272" s="91">
        <f t="shared" si="30"/>
        <v>0</v>
      </c>
      <c r="K272" s="93">
        <f t="shared" si="31"/>
        <v>0</v>
      </c>
    </row>
    <row r="273" spans="6:11" x14ac:dyDescent="0.25">
      <c r="F273" s="91">
        <f t="shared" si="26"/>
        <v>0</v>
      </c>
      <c r="G273" s="91">
        <f t="shared" si="27"/>
        <v>0</v>
      </c>
      <c r="H273" s="91">
        <f t="shared" si="28"/>
        <v>0</v>
      </c>
      <c r="I273" s="92">
        <f t="shared" si="29"/>
        <v>0</v>
      </c>
      <c r="J273" s="91">
        <f t="shared" si="30"/>
        <v>0</v>
      </c>
      <c r="K273" s="93">
        <f t="shared" si="31"/>
        <v>0</v>
      </c>
    </row>
    <row r="274" spans="6:11" x14ac:dyDescent="0.25">
      <c r="F274" s="91">
        <f t="shared" si="26"/>
        <v>0</v>
      </c>
      <c r="G274" s="91">
        <f t="shared" si="27"/>
        <v>0</v>
      </c>
      <c r="H274" s="91">
        <f t="shared" si="28"/>
        <v>0</v>
      </c>
      <c r="I274" s="92">
        <f t="shared" si="29"/>
        <v>0</v>
      </c>
      <c r="J274" s="91">
        <f t="shared" si="30"/>
        <v>0</v>
      </c>
      <c r="K274" s="93">
        <f t="shared" si="31"/>
        <v>0</v>
      </c>
    </row>
    <row r="275" spans="6:11" x14ac:dyDescent="0.25">
      <c r="F275" s="91">
        <f t="shared" si="26"/>
        <v>0</v>
      </c>
      <c r="G275" s="91">
        <f t="shared" si="27"/>
        <v>0</v>
      </c>
      <c r="H275" s="91">
        <f t="shared" si="28"/>
        <v>0</v>
      </c>
      <c r="I275" s="92">
        <f t="shared" si="29"/>
        <v>0</v>
      </c>
      <c r="J275" s="91">
        <f t="shared" si="30"/>
        <v>0</v>
      </c>
      <c r="K275" s="93">
        <f t="shared" si="31"/>
        <v>0</v>
      </c>
    </row>
    <row r="276" spans="6:11" x14ac:dyDescent="0.25">
      <c r="F276" s="91">
        <f t="shared" si="26"/>
        <v>0</v>
      </c>
      <c r="G276" s="91">
        <f t="shared" si="27"/>
        <v>0</v>
      </c>
      <c r="H276" s="91">
        <f t="shared" si="28"/>
        <v>0</v>
      </c>
      <c r="I276" s="92">
        <f t="shared" si="29"/>
        <v>0</v>
      </c>
      <c r="J276" s="91">
        <f t="shared" si="30"/>
        <v>0</v>
      </c>
      <c r="K276" s="93">
        <f t="shared" si="31"/>
        <v>0</v>
      </c>
    </row>
    <row r="277" spans="6:11" x14ac:dyDescent="0.25">
      <c r="F277" s="91">
        <f t="shared" si="26"/>
        <v>0</v>
      </c>
      <c r="G277" s="91">
        <f t="shared" si="27"/>
        <v>0</v>
      </c>
      <c r="H277" s="91">
        <f t="shared" si="28"/>
        <v>0</v>
      </c>
      <c r="I277" s="92">
        <f t="shared" si="29"/>
        <v>0</v>
      </c>
      <c r="J277" s="91">
        <f t="shared" si="30"/>
        <v>0</v>
      </c>
      <c r="K277" s="93">
        <f t="shared" si="31"/>
        <v>0</v>
      </c>
    </row>
    <row r="278" spans="6:11" x14ac:dyDescent="0.25">
      <c r="F278" s="91">
        <f t="shared" si="26"/>
        <v>0</v>
      </c>
      <c r="G278" s="91">
        <f t="shared" si="27"/>
        <v>0</v>
      </c>
      <c r="H278" s="91">
        <f t="shared" si="28"/>
        <v>0</v>
      </c>
      <c r="I278" s="92">
        <f t="shared" si="29"/>
        <v>0</v>
      </c>
      <c r="J278" s="91">
        <f t="shared" si="30"/>
        <v>0</v>
      </c>
      <c r="K278" s="93">
        <f t="shared" si="31"/>
        <v>0</v>
      </c>
    </row>
    <row r="279" spans="6:11" x14ac:dyDescent="0.25">
      <c r="F279" s="91">
        <f t="shared" si="26"/>
        <v>0</v>
      </c>
      <c r="G279" s="91">
        <f t="shared" si="27"/>
        <v>0</v>
      </c>
      <c r="H279" s="91">
        <f t="shared" si="28"/>
        <v>0</v>
      </c>
      <c r="I279" s="92">
        <f t="shared" si="29"/>
        <v>0</v>
      </c>
      <c r="J279" s="91">
        <f t="shared" si="30"/>
        <v>0</v>
      </c>
      <c r="K279" s="93">
        <f t="shared" si="31"/>
        <v>0</v>
      </c>
    </row>
    <row r="280" spans="6:11" x14ac:dyDescent="0.25">
      <c r="F280" s="91">
        <f t="shared" si="26"/>
        <v>0</v>
      </c>
      <c r="G280" s="91">
        <f t="shared" si="27"/>
        <v>0</v>
      </c>
      <c r="H280" s="91">
        <f t="shared" si="28"/>
        <v>0</v>
      </c>
      <c r="I280" s="92">
        <f t="shared" si="29"/>
        <v>0</v>
      </c>
      <c r="J280" s="91">
        <f t="shared" si="30"/>
        <v>0</v>
      </c>
      <c r="K280" s="93">
        <f t="shared" si="31"/>
        <v>0</v>
      </c>
    </row>
    <row r="281" spans="6:11" x14ac:dyDescent="0.25">
      <c r="F281" s="91">
        <f t="shared" si="26"/>
        <v>0</v>
      </c>
      <c r="G281" s="91">
        <f t="shared" si="27"/>
        <v>0</v>
      </c>
      <c r="H281" s="91">
        <f t="shared" si="28"/>
        <v>0</v>
      </c>
      <c r="I281" s="92">
        <f t="shared" si="29"/>
        <v>0</v>
      </c>
      <c r="J281" s="91">
        <f t="shared" si="30"/>
        <v>0</v>
      </c>
      <c r="K281" s="93">
        <f t="shared" si="31"/>
        <v>0</v>
      </c>
    </row>
    <row r="282" spans="6:11" x14ac:dyDescent="0.25">
      <c r="F282" s="91">
        <f t="shared" si="26"/>
        <v>0</v>
      </c>
      <c r="G282" s="91">
        <f t="shared" si="27"/>
        <v>0</v>
      </c>
      <c r="H282" s="91">
        <f t="shared" si="28"/>
        <v>0</v>
      </c>
      <c r="I282" s="92">
        <f t="shared" si="29"/>
        <v>0</v>
      </c>
      <c r="J282" s="91">
        <f t="shared" si="30"/>
        <v>0</v>
      </c>
      <c r="K282" s="93">
        <f t="shared" si="31"/>
        <v>0</v>
      </c>
    </row>
    <row r="283" spans="6:11" x14ac:dyDescent="0.25">
      <c r="F283" s="91">
        <f t="shared" si="26"/>
        <v>0</v>
      </c>
      <c r="G283" s="91">
        <f t="shared" si="27"/>
        <v>0</v>
      </c>
      <c r="H283" s="91">
        <f t="shared" si="28"/>
        <v>0</v>
      </c>
      <c r="I283" s="92">
        <f t="shared" si="29"/>
        <v>0</v>
      </c>
      <c r="J283" s="91">
        <f t="shared" si="30"/>
        <v>0</v>
      </c>
      <c r="K283" s="93">
        <f t="shared" si="31"/>
        <v>0</v>
      </c>
    </row>
    <row r="284" spans="6:11" x14ac:dyDescent="0.25">
      <c r="F284" s="91">
        <f t="shared" si="26"/>
        <v>0</v>
      </c>
      <c r="G284" s="91">
        <f t="shared" si="27"/>
        <v>0</v>
      </c>
      <c r="H284" s="91">
        <f t="shared" si="28"/>
        <v>0</v>
      </c>
      <c r="I284" s="92">
        <f t="shared" si="29"/>
        <v>0</v>
      </c>
      <c r="J284" s="91">
        <f t="shared" si="30"/>
        <v>0</v>
      </c>
      <c r="K284" s="93">
        <f t="shared" si="31"/>
        <v>0</v>
      </c>
    </row>
    <row r="285" spans="6:11" x14ac:dyDescent="0.25">
      <c r="F285" s="91">
        <f t="shared" si="26"/>
        <v>0</v>
      </c>
      <c r="G285" s="91">
        <f t="shared" si="27"/>
        <v>0</v>
      </c>
      <c r="H285" s="91">
        <f t="shared" si="28"/>
        <v>0</v>
      </c>
      <c r="I285" s="92">
        <f t="shared" si="29"/>
        <v>0</v>
      </c>
      <c r="J285" s="91">
        <f t="shared" si="30"/>
        <v>0</v>
      </c>
      <c r="K285" s="93">
        <f t="shared" si="31"/>
        <v>0</v>
      </c>
    </row>
    <row r="286" spans="6:11" x14ac:dyDescent="0.25">
      <c r="F286" s="91">
        <f t="shared" si="26"/>
        <v>0</v>
      </c>
      <c r="G286" s="91">
        <f t="shared" si="27"/>
        <v>0</v>
      </c>
      <c r="H286" s="91">
        <f t="shared" si="28"/>
        <v>0</v>
      </c>
      <c r="I286" s="92">
        <f t="shared" si="29"/>
        <v>0</v>
      </c>
      <c r="J286" s="91">
        <f t="shared" si="30"/>
        <v>0</v>
      </c>
      <c r="K286" s="93">
        <f t="shared" si="31"/>
        <v>0</v>
      </c>
    </row>
    <row r="287" spans="6:11" x14ac:dyDescent="0.25">
      <c r="F287" s="91">
        <f t="shared" si="26"/>
        <v>0</v>
      </c>
      <c r="G287" s="91">
        <f t="shared" si="27"/>
        <v>0</v>
      </c>
      <c r="H287" s="91">
        <f t="shared" si="28"/>
        <v>0</v>
      </c>
      <c r="I287" s="92">
        <f t="shared" si="29"/>
        <v>0</v>
      </c>
      <c r="J287" s="91">
        <f t="shared" si="30"/>
        <v>0</v>
      </c>
      <c r="K287" s="93">
        <f t="shared" si="31"/>
        <v>0</v>
      </c>
    </row>
    <row r="288" spans="6:11" x14ac:dyDescent="0.25">
      <c r="F288" s="91">
        <f t="shared" si="26"/>
        <v>0</v>
      </c>
      <c r="G288" s="91">
        <f t="shared" si="27"/>
        <v>0</v>
      </c>
      <c r="H288" s="91">
        <f t="shared" si="28"/>
        <v>0</v>
      </c>
      <c r="I288" s="92">
        <f t="shared" si="29"/>
        <v>0</v>
      </c>
      <c r="J288" s="91">
        <f t="shared" si="30"/>
        <v>0</v>
      </c>
      <c r="K288" s="93">
        <f t="shared" si="31"/>
        <v>0</v>
      </c>
    </row>
    <row r="289" spans="6:11" x14ac:dyDescent="0.25">
      <c r="F289" s="91">
        <f t="shared" si="26"/>
        <v>0</v>
      </c>
      <c r="G289" s="91">
        <f t="shared" si="27"/>
        <v>0</v>
      </c>
      <c r="H289" s="91">
        <f t="shared" si="28"/>
        <v>0</v>
      </c>
      <c r="I289" s="92">
        <f t="shared" si="29"/>
        <v>0</v>
      </c>
      <c r="J289" s="91">
        <f t="shared" si="30"/>
        <v>0</v>
      </c>
      <c r="K289" s="93">
        <f t="shared" si="31"/>
        <v>0</v>
      </c>
    </row>
    <row r="290" spans="6:11" x14ac:dyDescent="0.25">
      <c r="F290" s="91">
        <f t="shared" si="26"/>
        <v>0</v>
      </c>
      <c r="G290" s="91">
        <f t="shared" si="27"/>
        <v>0</v>
      </c>
      <c r="H290" s="91">
        <f t="shared" si="28"/>
        <v>0</v>
      </c>
      <c r="I290" s="92">
        <f t="shared" si="29"/>
        <v>0</v>
      </c>
      <c r="J290" s="91">
        <f t="shared" si="30"/>
        <v>0</v>
      </c>
      <c r="K290" s="93">
        <f t="shared" si="31"/>
        <v>0</v>
      </c>
    </row>
    <row r="291" spans="6:11" x14ac:dyDescent="0.25">
      <c r="F291" s="91">
        <f t="shared" si="26"/>
        <v>0</v>
      </c>
      <c r="G291" s="91">
        <f t="shared" si="27"/>
        <v>0</v>
      </c>
      <c r="H291" s="91">
        <f t="shared" si="28"/>
        <v>0</v>
      </c>
      <c r="I291" s="92">
        <f t="shared" si="29"/>
        <v>0</v>
      </c>
      <c r="J291" s="91">
        <f t="shared" si="30"/>
        <v>0</v>
      </c>
      <c r="K291" s="93">
        <f t="shared" si="31"/>
        <v>0</v>
      </c>
    </row>
    <row r="292" spans="6:11" x14ac:dyDescent="0.25">
      <c r="F292" s="91">
        <f t="shared" si="26"/>
        <v>0</v>
      </c>
      <c r="G292" s="91">
        <f t="shared" si="27"/>
        <v>0</v>
      </c>
      <c r="H292" s="91">
        <f t="shared" si="28"/>
        <v>0</v>
      </c>
      <c r="I292" s="92">
        <f t="shared" si="29"/>
        <v>0</v>
      </c>
      <c r="J292" s="91">
        <f t="shared" si="30"/>
        <v>0</v>
      </c>
      <c r="K292" s="93">
        <f t="shared" si="31"/>
        <v>0</v>
      </c>
    </row>
    <row r="293" spans="6:11" x14ac:dyDescent="0.25">
      <c r="F293" s="91">
        <f t="shared" si="26"/>
        <v>0</v>
      </c>
      <c r="G293" s="91">
        <f t="shared" si="27"/>
        <v>0</v>
      </c>
      <c r="H293" s="91">
        <f t="shared" si="28"/>
        <v>0</v>
      </c>
      <c r="I293" s="92">
        <f t="shared" si="29"/>
        <v>0</v>
      </c>
      <c r="J293" s="91">
        <f t="shared" si="30"/>
        <v>0</v>
      </c>
      <c r="K293" s="93">
        <f t="shared" si="31"/>
        <v>0</v>
      </c>
    </row>
    <row r="294" spans="6:11" x14ac:dyDescent="0.25">
      <c r="F294" s="91">
        <f t="shared" si="26"/>
        <v>0</v>
      </c>
      <c r="G294" s="91">
        <f t="shared" si="27"/>
        <v>0</v>
      </c>
      <c r="H294" s="91">
        <f t="shared" si="28"/>
        <v>0</v>
      </c>
      <c r="I294" s="92">
        <f t="shared" si="29"/>
        <v>0</v>
      </c>
      <c r="J294" s="91">
        <f t="shared" si="30"/>
        <v>0</v>
      </c>
      <c r="K294" s="93">
        <f t="shared" si="31"/>
        <v>0</v>
      </c>
    </row>
    <row r="295" spans="6:11" x14ac:dyDescent="0.25">
      <c r="F295" s="91">
        <f t="shared" si="26"/>
        <v>0</v>
      </c>
      <c r="G295" s="91">
        <f t="shared" si="27"/>
        <v>0</v>
      </c>
      <c r="H295" s="91">
        <f t="shared" si="28"/>
        <v>0</v>
      </c>
      <c r="I295" s="92">
        <f t="shared" si="29"/>
        <v>0</v>
      </c>
      <c r="J295" s="91">
        <f t="shared" si="30"/>
        <v>0</v>
      </c>
      <c r="K295" s="93">
        <f t="shared" si="31"/>
        <v>0</v>
      </c>
    </row>
    <row r="296" spans="6:11" x14ac:dyDescent="0.25">
      <c r="F296" s="91">
        <f t="shared" si="26"/>
        <v>0</v>
      </c>
      <c r="G296" s="91">
        <f t="shared" si="27"/>
        <v>0</v>
      </c>
      <c r="H296" s="91">
        <f t="shared" si="28"/>
        <v>0</v>
      </c>
      <c r="I296" s="92">
        <f t="shared" si="29"/>
        <v>0</v>
      </c>
      <c r="J296" s="91">
        <f t="shared" si="30"/>
        <v>0</v>
      </c>
      <c r="K296" s="93">
        <f t="shared" si="31"/>
        <v>0</v>
      </c>
    </row>
    <row r="297" spans="6:11" x14ac:dyDescent="0.25">
      <c r="F297" s="91">
        <f t="shared" si="26"/>
        <v>0</v>
      </c>
      <c r="G297" s="91">
        <f t="shared" si="27"/>
        <v>0</v>
      </c>
      <c r="H297" s="91">
        <f t="shared" si="28"/>
        <v>0</v>
      </c>
      <c r="I297" s="92">
        <f t="shared" si="29"/>
        <v>0</v>
      </c>
      <c r="J297" s="91">
        <f t="shared" si="30"/>
        <v>0</v>
      </c>
      <c r="K297" s="93">
        <f t="shared" si="31"/>
        <v>0</v>
      </c>
    </row>
    <row r="298" spans="6:11" x14ac:dyDescent="0.25">
      <c r="F298" s="91">
        <f t="shared" si="26"/>
        <v>0</v>
      </c>
      <c r="G298" s="91">
        <f t="shared" si="27"/>
        <v>0</v>
      </c>
      <c r="H298" s="91">
        <f t="shared" si="28"/>
        <v>0</v>
      </c>
      <c r="I298" s="92">
        <f t="shared" si="29"/>
        <v>0</v>
      </c>
      <c r="J298" s="91">
        <f t="shared" si="30"/>
        <v>0</v>
      </c>
      <c r="K298" s="93">
        <f t="shared" si="31"/>
        <v>0</v>
      </c>
    </row>
    <row r="299" spans="6:11" x14ac:dyDescent="0.25">
      <c r="F299" s="91">
        <f t="shared" si="26"/>
        <v>0</v>
      </c>
      <c r="G299" s="91">
        <f t="shared" si="27"/>
        <v>0</v>
      </c>
      <c r="H299" s="91">
        <f t="shared" si="28"/>
        <v>0</v>
      </c>
      <c r="I299" s="92">
        <f t="shared" si="29"/>
        <v>0</v>
      </c>
      <c r="J299" s="91">
        <f t="shared" si="30"/>
        <v>0</v>
      </c>
      <c r="K299" s="93">
        <f t="shared" si="31"/>
        <v>0</v>
      </c>
    </row>
    <row r="300" spans="6:11" x14ac:dyDescent="0.25">
      <c r="F300" s="91">
        <f t="shared" si="26"/>
        <v>0</v>
      </c>
      <c r="G300" s="91">
        <f t="shared" si="27"/>
        <v>0</v>
      </c>
      <c r="H300" s="91">
        <f t="shared" si="28"/>
        <v>0</v>
      </c>
      <c r="I300" s="92">
        <f t="shared" si="29"/>
        <v>0</v>
      </c>
      <c r="J300" s="91">
        <f t="shared" si="30"/>
        <v>0</v>
      </c>
      <c r="K300" s="93">
        <f t="shared" si="31"/>
        <v>0</v>
      </c>
    </row>
    <row r="301" spans="6:11" x14ac:dyDescent="0.25">
      <c r="F301" s="91">
        <f t="shared" si="26"/>
        <v>0</v>
      </c>
      <c r="G301" s="91">
        <f t="shared" si="27"/>
        <v>0</v>
      </c>
      <c r="H301" s="91">
        <f t="shared" si="28"/>
        <v>0</v>
      </c>
      <c r="I301" s="92">
        <f t="shared" si="29"/>
        <v>0</v>
      </c>
      <c r="J301" s="91">
        <f t="shared" si="30"/>
        <v>0</v>
      </c>
      <c r="K301" s="93">
        <f t="shared" si="31"/>
        <v>0</v>
      </c>
    </row>
    <row r="302" spans="6:11" x14ac:dyDescent="0.25">
      <c r="F302" s="91">
        <f t="shared" si="26"/>
        <v>0</v>
      </c>
      <c r="G302" s="91">
        <f t="shared" si="27"/>
        <v>0</v>
      </c>
      <c r="H302" s="91">
        <f t="shared" si="28"/>
        <v>0</v>
      </c>
      <c r="I302" s="92">
        <f t="shared" si="29"/>
        <v>0</v>
      </c>
      <c r="J302" s="91">
        <f t="shared" si="30"/>
        <v>0</v>
      </c>
      <c r="K302" s="93">
        <f t="shared" si="31"/>
        <v>0</v>
      </c>
    </row>
    <row r="303" spans="6:11" x14ac:dyDescent="0.25">
      <c r="F303" s="91">
        <f t="shared" si="26"/>
        <v>0</v>
      </c>
      <c r="G303" s="91">
        <f t="shared" si="27"/>
        <v>0</v>
      </c>
      <c r="H303" s="91">
        <f t="shared" si="28"/>
        <v>0</v>
      </c>
      <c r="I303" s="92">
        <f t="shared" si="29"/>
        <v>0</v>
      </c>
      <c r="J303" s="91">
        <f t="shared" si="30"/>
        <v>0</v>
      </c>
      <c r="K303" s="93">
        <f t="shared" si="31"/>
        <v>0</v>
      </c>
    </row>
    <row r="304" spans="6:11" x14ac:dyDescent="0.25">
      <c r="F304" s="91">
        <f t="shared" si="26"/>
        <v>0</v>
      </c>
      <c r="G304" s="91">
        <f t="shared" si="27"/>
        <v>0</v>
      </c>
      <c r="H304" s="91">
        <f t="shared" si="28"/>
        <v>0</v>
      </c>
      <c r="I304" s="92">
        <f t="shared" si="29"/>
        <v>0</v>
      </c>
      <c r="J304" s="91">
        <f t="shared" si="30"/>
        <v>0</v>
      </c>
      <c r="K304" s="93">
        <f t="shared" si="31"/>
        <v>0</v>
      </c>
    </row>
    <row r="305" spans="6:11" x14ac:dyDescent="0.25">
      <c r="F305" s="91">
        <f t="shared" si="26"/>
        <v>0</v>
      </c>
      <c r="G305" s="91">
        <f t="shared" si="27"/>
        <v>0</v>
      </c>
      <c r="H305" s="91">
        <f t="shared" si="28"/>
        <v>0</v>
      </c>
      <c r="I305" s="92">
        <f t="shared" si="29"/>
        <v>0</v>
      </c>
      <c r="J305" s="91">
        <f t="shared" si="30"/>
        <v>0</v>
      </c>
      <c r="K305" s="93">
        <f t="shared" si="31"/>
        <v>0</v>
      </c>
    </row>
    <row r="306" spans="6:11" x14ac:dyDescent="0.25">
      <c r="F306" s="91">
        <f t="shared" si="26"/>
        <v>0</v>
      </c>
      <c r="G306" s="91">
        <f t="shared" si="27"/>
        <v>0</v>
      </c>
      <c r="H306" s="91">
        <f t="shared" si="28"/>
        <v>0</v>
      </c>
      <c r="I306" s="92">
        <f t="shared" si="29"/>
        <v>0</v>
      </c>
      <c r="J306" s="91">
        <f t="shared" si="30"/>
        <v>0</v>
      </c>
      <c r="K306" s="93">
        <f t="shared" si="31"/>
        <v>0</v>
      </c>
    </row>
    <row r="307" spans="6:11" x14ac:dyDescent="0.25">
      <c r="F307" s="91">
        <f t="shared" si="26"/>
        <v>0</v>
      </c>
      <c r="G307" s="91">
        <f t="shared" si="27"/>
        <v>0</v>
      </c>
      <c r="H307" s="91">
        <f t="shared" si="28"/>
        <v>0</v>
      </c>
      <c r="I307" s="92">
        <f t="shared" si="29"/>
        <v>0</v>
      </c>
      <c r="J307" s="91">
        <f t="shared" si="30"/>
        <v>0</v>
      </c>
      <c r="K307" s="93">
        <f t="shared" si="31"/>
        <v>0</v>
      </c>
    </row>
    <row r="308" spans="6:11" x14ac:dyDescent="0.25">
      <c r="F308" s="91">
        <f t="shared" si="26"/>
        <v>0</v>
      </c>
      <c r="G308" s="91">
        <f t="shared" si="27"/>
        <v>0</v>
      </c>
      <c r="H308" s="91">
        <f t="shared" si="28"/>
        <v>0</v>
      </c>
      <c r="I308" s="92">
        <f t="shared" si="29"/>
        <v>0</v>
      </c>
      <c r="J308" s="91">
        <f t="shared" si="30"/>
        <v>0</v>
      </c>
      <c r="K308" s="93">
        <f t="shared" si="31"/>
        <v>0</v>
      </c>
    </row>
    <row r="309" spans="6:11" x14ac:dyDescent="0.25">
      <c r="F309" s="91">
        <f t="shared" si="26"/>
        <v>0</v>
      </c>
      <c r="G309" s="91">
        <f t="shared" si="27"/>
        <v>0</v>
      </c>
      <c r="H309" s="91">
        <f t="shared" si="28"/>
        <v>0</v>
      </c>
      <c r="I309" s="92">
        <f t="shared" si="29"/>
        <v>0</v>
      </c>
      <c r="J309" s="91">
        <f t="shared" si="30"/>
        <v>0</v>
      </c>
      <c r="K309" s="93">
        <f t="shared" si="31"/>
        <v>0</v>
      </c>
    </row>
    <row r="310" spans="6:11" x14ac:dyDescent="0.25">
      <c r="F310" s="91">
        <f t="shared" si="26"/>
        <v>0</v>
      </c>
      <c r="G310" s="91">
        <f t="shared" si="27"/>
        <v>0</v>
      </c>
      <c r="H310" s="91">
        <f t="shared" si="28"/>
        <v>0</v>
      </c>
      <c r="I310" s="92">
        <f t="shared" si="29"/>
        <v>0</v>
      </c>
      <c r="J310" s="91">
        <f t="shared" si="30"/>
        <v>0</v>
      </c>
      <c r="K310" s="93">
        <f t="shared" si="31"/>
        <v>0</v>
      </c>
    </row>
    <row r="311" spans="6:11" x14ac:dyDescent="0.25">
      <c r="F311" s="91">
        <f t="shared" si="26"/>
        <v>0</v>
      </c>
      <c r="G311" s="91">
        <f t="shared" si="27"/>
        <v>0</v>
      </c>
      <c r="H311" s="91">
        <f t="shared" si="28"/>
        <v>0</v>
      </c>
      <c r="I311" s="92">
        <f t="shared" si="29"/>
        <v>0</v>
      </c>
      <c r="J311" s="91">
        <f t="shared" si="30"/>
        <v>0</v>
      </c>
      <c r="K311" s="93">
        <f t="shared" si="31"/>
        <v>0</v>
      </c>
    </row>
    <row r="312" spans="6:11" x14ac:dyDescent="0.25">
      <c r="F312" s="91">
        <f t="shared" si="26"/>
        <v>0</v>
      </c>
      <c r="G312" s="91">
        <f t="shared" si="27"/>
        <v>0</v>
      </c>
      <c r="H312" s="91">
        <f t="shared" si="28"/>
        <v>0</v>
      </c>
      <c r="I312" s="92">
        <f t="shared" si="29"/>
        <v>0</v>
      </c>
      <c r="J312" s="91">
        <f t="shared" si="30"/>
        <v>0</v>
      </c>
      <c r="K312" s="93">
        <f t="shared" si="31"/>
        <v>0</v>
      </c>
    </row>
    <row r="313" spans="6:11" x14ac:dyDescent="0.25">
      <c r="F313" s="91">
        <f t="shared" si="26"/>
        <v>0</v>
      </c>
      <c r="G313" s="91">
        <f t="shared" si="27"/>
        <v>0</v>
      </c>
      <c r="H313" s="91">
        <f t="shared" si="28"/>
        <v>0</v>
      </c>
      <c r="I313" s="92">
        <f t="shared" si="29"/>
        <v>0</v>
      </c>
      <c r="J313" s="91">
        <f t="shared" si="30"/>
        <v>0</v>
      </c>
      <c r="K313" s="93">
        <f t="shared" si="31"/>
        <v>0</v>
      </c>
    </row>
    <row r="314" spans="6:11" x14ac:dyDescent="0.25">
      <c r="F314" s="91">
        <f t="shared" si="26"/>
        <v>0</v>
      </c>
      <c r="G314" s="91">
        <f t="shared" si="27"/>
        <v>0</v>
      </c>
      <c r="H314" s="91">
        <f t="shared" si="28"/>
        <v>0</v>
      </c>
      <c r="I314" s="92">
        <f t="shared" si="29"/>
        <v>0</v>
      </c>
      <c r="J314" s="91">
        <f t="shared" si="30"/>
        <v>0</v>
      </c>
      <c r="K314" s="93">
        <f t="shared" si="31"/>
        <v>0</v>
      </c>
    </row>
    <row r="315" spans="6:11" x14ac:dyDescent="0.25">
      <c r="F315" s="91">
        <f t="shared" si="26"/>
        <v>0</v>
      </c>
      <c r="G315" s="91">
        <f t="shared" si="27"/>
        <v>0</v>
      </c>
      <c r="H315" s="91">
        <f t="shared" si="28"/>
        <v>0</v>
      </c>
      <c r="I315" s="92">
        <f t="shared" si="29"/>
        <v>0</v>
      </c>
      <c r="J315" s="91">
        <f t="shared" si="30"/>
        <v>0</v>
      </c>
      <c r="K315" s="93">
        <f t="shared" si="31"/>
        <v>0</v>
      </c>
    </row>
    <row r="316" spans="6:11" x14ac:dyDescent="0.25">
      <c r="F316" s="91">
        <f t="shared" si="26"/>
        <v>0</v>
      </c>
      <c r="G316" s="91">
        <f t="shared" si="27"/>
        <v>0</v>
      </c>
      <c r="H316" s="91">
        <f t="shared" si="28"/>
        <v>0</v>
      </c>
      <c r="I316" s="92">
        <f t="shared" si="29"/>
        <v>0</v>
      </c>
      <c r="J316" s="91">
        <f t="shared" si="30"/>
        <v>0</v>
      </c>
      <c r="K316" s="93">
        <f t="shared" si="31"/>
        <v>0</v>
      </c>
    </row>
    <row r="317" spans="6:11" x14ac:dyDescent="0.25">
      <c r="F317" s="91">
        <f t="shared" si="26"/>
        <v>0</v>
      </c>
      <c r="G317" s="91">
        <f t="shared" si="27"/>
        <v>0</v>
      </c>
      <c r="H317" s="91">
        <f t="shared" si="28"/>
        <v>0</v>
      </c>
      <c r="I317" s="92">
        <f t="shared" si="29"/>
        <v>0</v>
      </c>
      <c r="J317" s="91">
        <f t="shared" si="30"/>
        <v>0</v>
      </c>
      <c r="K317" s="93">
        <f t="shared" si="31"/>
        <v>0</v>
      </c>
    </row>
    <row r="318" spans="6:11" x14ac:dyDescent="0.25">
      <c r="F318" s="91">
        <f t="shared" si="26"/>
        <v>0</v>
      </c>
      <c r="G318" s="91">
        <f t="shared" si="27"/>
        <v>0</v>
      </c>
      <c r="H318" s="91">
        <f t="shared" si="28"/>
        <v>0</v>
      </c>
      <c r="I318" s="92">
        <f t="shared" si="29"/>
        <v>0</v>
      </c>
      <c r="J318" s="91">
        <f t="shared" si="30"/>
        <v>0</v>
      </c>
      <c r="K318" s="93">
        <f t="shared" si="31"/>
        <v>0</v>
      </c>
    </row>
  </sheetData>
  <mergeCells count="1">
    <mergeCell ref="A41:B41"/>
  </mergeCells>
  <dataValidations count="1">
    <dataValidation type="list" allowBlank="1" showInputMessage="1" showErrorMessage="1" sqref="A6:A30">
      <formula1>Топливо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"/>
  <sheetViews>
    <sheetView showGridLines="0" topLeftCell="A80" workbookViewId="0">
      <selection activeCell="A130" sqref="A129:A130"/>
    </sheetView>
  </sheetViews>
  <sheetFormatPr defaultRowHeight="15" x14ac:dyDescent="0.25"/>
  <cols>
    <col min="1" max="1" width="34.5703125" customWidth="1"/>
    <col min="2" max="2" width="62.28515625" customWidth="1"/>
    <col min="3" max="3" width="35.7109375" customWidth="1"/>
  </cols>
  <sheetData>
    <row r="1" spans="1:2" x14ac:dyDescent="0.25">
      <c r="A1" t="s">
        <v>157</v>
      </c>
      <c r="B1" t="s">
        <v>156</v>
      </c>
    </row>
    <row r="2" spans="1:2" x14ac:dyDescent="0.25">
      <c r="A2" t="s">
        <v>195</v>
      </c>
      <c r="B2" t="s">
        <v>191</v>
      </c>
    </row>
    <row r="3" spans="1:2" x14ac:dyDescent="0.25">
      <c r="A3" t="s">
        <v>196</v>
      </c>
      <c r="B3" t="s">
        <v>192</v>
      </c>
    </row>
    <row r="4" spans="1:2" x14ac:dyDescent="0.25">
      <c r="A4" t="s">
        <v>197</v>
      </c>
      <c r="B4" t="s">
        <v>193</v>
      </c>
    </row>
    <row r="5" spans="1:2" x14ac:dyDescent="0.25">
      <c r="A5" t="s">
        <v>198</v>
      </c>
      <c r="B5" t="s">
        <v>194</v>
      </c>
    </row>
    <row r="6" spans="1:2" x14ac:dyDescent="0.25">
      <c r="A6" t="s">
        <v>199</v>
      </c>
      <c r="B6" t="s">
        <v>190</v>
      </c>
    </row>
    <row r="7" spans="1:2" x14ac:dyDescent="0.25">
      <c r="A7" t="s">
        <v>180</v>
      </c>
      <c r="B7" t="s">
        <v>181</v>
      </c>
    </row>
    <row r="8" spans="1:2" x14ac:dyDescent="0.25">
      <c r="A8" t="s">
        <v>64</v>
      </c>
      <c r="B8" t="s">
        <v>169</v>
      </c>
    </row>
    <row r="9" spans="1:2" x14ac:dyDescent="0.25">
      <c r="A9" t="s">
        <v>167</v>
      </c>
      <c r="B9" t="s">
        <v>155</v>
      </c>
    </row>
    <row r="10" spans="1:2" x14ac:dyDescent="0.25">
      <c r="A10" t="s">
        <v>77</v>
      </c>
      <c r="B10" t="s">
        <v>149</v>
      </c>
    </row>
    <row r="11" spans="1:2" x14ac:dyDescent="0.25">
      <c r="A11" t="s">
        <v>82</v>
      </c>
      <c r="B11" t="s">
        <v>170</v>
      </c>
    </row>
    <row r="12" spans="1:2" x14ac:dyDescent="0.25">
      <c r="A12" t="s">
        <v>80</v>
      </c>
      <c r="B12" s="43" t="s">
        <v>200</v>
      </c>
    </row>
    <row r="13" spans="1:2" x14ac:dyDescent="0.25">
      <c r="A13" t="s">
        <v>66</v>
      </c>
      <c r="B13" t="s">
        <v>154</v>
      </c>
    </row>
    <row r="14" spans="1:2" x14ac:dyDescent="0.25">
      <c r="A14" t="s">
        <v>150</v>
      </c>
      <c r="B14" t="s">
        <v>153</v>
      </c>
    </row>
    <row r="15" spans="1:2" x14ac:dyDescent="0.25">
      <c r="A15" t="s">
        <v>164</v>
      </c>
      <c r="B15" s="43" t="s">
        <v>165</v>
      </c>
    </row>
    <row r="16" spans="1:2" x14ac:dyDescent="0.25">
      <c r="A16" t="s">
        <v>151</v>
      </c>
      <c r="B16" t="s">
        <v>152</v>
      </c>
    </row>
    <row r="17" spans="1:2" x14ac:dyDescent="0.25">
      <c r="A17" t="s">
        <v>168</v>
      </c>
      <c r="B17" t="s">
        <v>166</v>
      </c>
    </row>
    <row r="18" spans="1:2" x14ac:dyDescent="0.25">
      <c r="A18" t="s">
        <v>172</v>
      </c>
      <c r="B18" t="s">
        <v>171</v>
      </c>
    </row>
    <row r="19" spans="1:2" x14ac:dyDescent="0.25">
      <c r="A19" t="s">
        <v>177</v>
      </c>
      <c r="B19" t="s">
        <v>176</v>
      </c>
    </row>
    <row r="20" spans="1:2" x14ac:dyDescent="0.25">
      <c r="A20" t="s">
        <v>173</v>
      </c>
      <c r="B20" t="s">
        <v>174</v>
      </c>
    </row>
    <row r="21" spans="1:2" x14ac:dyDescent="0.25">
      <c r="A21" t="s">
        <v>178</v>
      </c>
      <c r="B21" t="s">
        <v>179</v>
      </c>
    </row>
    <row r="22" spans="1:2" x14ac:dyDescent="0.25">
      <c r="A22" t="s">
        <v>182</v>
      </c>
      <c r="B22" t="s">
        <v>183</v>
      </c>
    </row>
    <row r="25" spans="1:2" x14ac:dyDescent="0.25">
      <c r="B25" t="s">
        <v>85</v>
      </c>
    </row>
    <row r="26" spans="1:2" x14ac:dyDescent="0.25">
      <c r="B26" t="s">
        <v>86</v>
      </c>
    </row>
    <row r="27" spans="1:2" x14ac:dyDescent="0.25">
      <c r="B27" t="s">
        <v>87</v>
      </c>
    </row>
    <row r="28" spans="1:2" x14ac:dyDescent="0.25">
      <c r="B28" t="s">
        <v>88</v>
      </c>
    </row>
    <row r="29" spans="1:2" x14ac:dyDescent="0.25">
      <c r="B29" t="s">
        <v>89</v>
      </c>
    </row>
    <row r="30" spans="1:2" x14ac:dyDescent="0.25">
      <c r="B30" t="s">
        <v>90</v>
      </c>
    </row>
    <row r="31" spans="1:2" x14ac:dyDescent="0.25">
      <c r="B31" t="s">
        <v>91</v>
      </c>
    </row>
    <row r="32" spans="1:2" x14ac:dyDescent="0.25">
      <c r="B32" t="s">
        <v>92</v>
      </c>
    </row>
    <row r="33" spans="2:2" x14ac:dyDescent="0.25">
      <c r="B33" t="s">
        <v>93</v>
      </c>
    </row>
  </sheetData>
  <autoFilter ref="A1:B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  <pageSetUpPr fitToPage="1"/>
  </sheetPr>
  <dimension ref="A1:AP32"/>
  <sheetViews>
    <sheetView view="pageBreakPreview" zoomScaleNormal="100" zoomScaleSheetLayoutView="100" workbookViewId="0">
      <selection activeCell="AM25" sqref="AM25"/>
    </sheetView>
  </sheetViews>
  <sheetFormatPr defaultColWidth="9" defaultRowHeight="15" x14ac:dyDescent="0.25"/>
  <cols>
    <col min="1" max="9" width="2.7109375" style="6" customWidth="1"/>
    <col min="10" max="10" width="3.42578125" style="6" customWidth="1"/>
    <col min="11" max="11" width="2.7109375" style="6" customWidth="1"/>
    <col min="12" max="12" width="2" style="6" customWidth="1"/>
    <col min="13" max="13" width="2.7109375" style="6" customWidth="1"/>
    <col min="14" max="14" width="2.28515625" style="6" customWidth="1"/>
    <col min="15" max="15" width="2.42578125" style="6" customWidth="1"/>
    <col min="16" max="16" width="1.28515625" style="6" customWidth="1"/>
    <col min="17" max="17" width="1.85546875" style="6" customWidth="1"/>
    <col min="18" max="18" width="1.7109375" style="6" customWidth="1"/>
    <col min="19" max="19" width="3.7109375" style="6" customWidth="1"/>
    <col min="20" max="20" width="7.7109375" style="6" customWidth="1"/>
    <col min="21" max="21" width="2.7109375" style="6" customWidth="1"/>
    <col min="22" max="22" width="0.5703125" style="6" customWidth="1"/>
    <col min="23" max="23" width="1.7109375" style="6" customWidth="1"/>
    <col min="24" max="24" width="3.42578125" style="6" customWidth="1"/>
    <col min="25" max="26" width="2.7109375" style="6" customWidth="1"/>
    <col min="27" max="27" width="4.85546875" style="6" customWidth="1"/>
    <col min="28" max="28" width="1" style="6" customWidth="1"/>
    <col min="29" max="29" width="0.140625" style="6" customWidth="1"/>
    <col min="30" max="30" width="0.28515625" style="6" customWidth="1"/>
    <col min="31" max="34" width="2.7109375" style="6" customWidth="1"/>
    <col min="35" max="35" width="8.42578125" style="6" customWidth="1"/>
    <col min="36" max="38" width="2.85546875" style="6" customWidth="1"/>
    <col min="39" max="39" width="18" style="6" customWidth="1"/>
    <col min="40" max="40" width="27.140625" style="6" customWidth="1"/>
    <col min="41" max="16384" width="9" style="6"/>
  </cols>
  <sheetData>
    <row r="1" spans="1:42" x14ac:dyDescent="0.25">
      <c r="X1" s="6" t="s">
        <v>19</v>
      </c>
    </row>
    <row r="2" spans="1:42" x14ac:dyDescent="0.25">
      <c r="X2" s="6" t="s">
        <v>20</v>
      </c>
    </row>
    <row r="3" spans="1:42" x14ac:dyDescent="0.25">
      <c r="X3" s="6" t="s">
        <v>122</v>
      </c>
      <c r="AM3" s="73"/>
      <c r="AN3" s="73"/>
    </row>
    <row r="4" spans="1:42" x14ac:dyDescent="0.25">
      <c r="X4" s="6" t="s">
        <v>21</v>
      </c>
      <c r="Y4" s="196" t="s">
        <v>123</v>
      </c>
      <c r="Z4" s="196"/>
      <c r="AA4" s="196"/>
      <c r="AB4" s="196"/>
      <c r="AC4" s="196"/>
      <c r="AD4" s="196"/>
      <c r="AE4" s="196"/>
      <c r="AF4" s="196"/>
      <c r="AG4" s="196"/>
      <c r="AH4" s="196"/>
      <c r="AI4" s="196"/>
      <c r="AJ4" s="77"/>
      <c r="AM4" s="73"/>
      <c r="AN4" s="73" t="s">
        <v>45</v>
      </c>
    </row>
    <row r="5" spans="1:42" x14ac:dyDescent="0.25">
      <c r="X5" s="197" t="s">
        <v>124</v>
      </c>
      <c r="Y5" s="197"/>
      <c r="Z5" s="197"/>
      <c r="AA5" s="197"/>
      <c r="AB5" s="197"/>
      <c r="AC5" s="197"/>
      <c r="AD5" s="197"/>
      <c r="AE5" s="197"/>
      <c r="AF5" s="197"/>
      <c r="AG5" s="197"/>
      <c r="AH5" s="197"/>
      <c r="AI5" s="197"/>
      <c r="AJ5" s="77"/>
      <c r="AK5" s="77"/>
      <c r="AM5" s="73" t="s">
        <v>120</v>
      </c>
      <c r="AN5" s="73" t="s">
        <v>119</v>
      </c>
      <c r="AO5" t="s">
        <v>118</v>
      </c>
    </row>
    <row r="6" spans="1:42" x14ac:dyDescent="0.25">
      <c r="AJ6" s="77"/>
      <c r="AK6" s="77"/>
      <c r="AM6" s="73" t="s">
        <v>146</v>
      </c>
      <c r="AN6" s="73" t="s">
        <v>147</v>
      </c>
      <c r="AO6" t="s">
        <v>148</v>
      </c>
    </row>
    <row r="7" spans="1:42" x14ac:dyDescent="0.25">
      <c r="AM7" s="73" t="s">
        <v>117</v>
      </c>
      <c r="AN7" s="75" t="s">
        <v>116</v>
      </c>
      <c r="AO7" t="s">
        <v>115</v>
      </c>
    </row>
    <row r="8" spans="1:42" ht="18.75" x14ac:dyDescent="0.3">
      <c r="A8" s="177" t="s">
        <v>16</v>
      </c>
      <c r="B8" s="177"/>
      <c r="C8" s="177"/>
      <c r="D8" s="177"/>
      <c r="E8" s="177"/>
      <c r="F8" s="177"/>
      <c r="G8" s="177"/>
      <c r="H8" s="177"/>
      <c r="I8" s="177"/>
      <c r="J8" s="177"/>
      <c r="K8" s="177"/>
      <c r="L8" s="177"/>
      <c r="M8" s="177"/>
      <c r="N8" s="177"/>
      <c r="O8" s="177"/>
      <c r="P8" s="177"/>
      <c r="Q8" s="177"/>
      <c r="R8" s="177"/>
      <c r="S8" s="177"/>
      <c r="T8" s="177"/>
      <c r="U8" s="177"/>
      <c r="V8" s="177"/>
      <c r="W8" s="177"/>
      <c r="X8" s="177"/>
      <c r="Y8" s="177"/>
      <c r="Z8" s="177"/>
      <c r="AA8" s="177"/>
      <c r="AB8" s="177"/>
      <c r="AC8" s="177"/>
      <c r="AD8" s="177"/>
      <c r="AE8" s="177"/>
      <c r="AF8" s="177"/>
      <c r="AG8" s="177"/>
      <c r="AH8" s="177"/>
      <c r="AI8" s="177"/>
      <c r="AJ8" s="177"/>
      <c r="AK8" s="76"/>
      <c r="AL8" s="76"/>
      <c r="AM8" s="73" t="s">
        <v>114</v>
      </c>
      <c r="AN8" s="75" t="s">
        <v>113</v>
      </c>
      <c r="AO8" t="s">
        <v>112</v>
      </c>
    </row>
    <row r="9" spans="1:42" x14ac:dyDescent="0.25">
      <c r="AM9" s="73" t="s">
        <v>111</v>
      </c>
      <c r="AN9" s="73" t="s">
        <v>55</v>
      </c>
      <c r="AO9" t="s">
        <v>103</v>
      </c>
    </row>
    <row r="10" spans="1:42" ht="24.75" customHeight="1" x14ac:dyDescent="0.25">
      <c r="C10" s="198" t="s">
        <v>137</v>
      </c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M10" s="73" t="s">
        <v>110</v>
      </c>
      <c r="AN10" s="73" t="s">
        <v>56</v>
      </c>
      <c r="AO10" t="s">
        <v>103</v>
      </c>
    </row>
    <row r="11" spans="1:42" x14ac:dyDescent="0.25">
      <c r="C11" s="74" t="s">
        <v>128</v>
      </c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195" t="s">
        <v>65</v>
      </c>
      <c r="P11" s="195"/>
      <c r="Q11" s="195"/>
      <c r="R11" s="195"/>
      <c r="S11" s="195"/>
      <c r="T11" s="195"/>
      <c r="U11" s="195"/>
      <c r="V11" s="195"/>
      <c r="W11" s="195"/>
      <c r="X11" s="195"/>
      <c r="Y11" s="195"/>
      <c r="Z11" s="195"/>
      <c r="AA11" s="195"/>
      <c r="AB11" s="35"/>
      <c r="AC11" s="35"/>
      <c r="AD11" s="35"/>
      <c r="AE11" s="74" t="s">
        <v>109</v>
      </c>
      <c r="AF11" s="35"/>
      <c r="AG11" s="35"/>
      <c r="AH11" s="35"/>
      <c r="AI11" s="35"/>
      <c r="AM11" s="73" t="s">
        <v>108</v>
      </c>
      <c r="AN11" s="73" t="s">
        <v>57</v>
      </c>
      <c r="AO11" t="s">
        <v>103</v>
      </c>
    </row>
    <row r="12" spans="1:42" x14ac:dyDescent="0.25">
      <c r="C12" s="6" t="str">
        <f>VLOOKUP(O11,AN5:$AO$21,2,0)</f>
        <v>между ООО «Сервионика» и ООО «МВМ»</v>
      </c>
      <c r="AM12" s="73" t="s">
        <v>107</v>
      </c>
      <c r="AN12" s="73" t="s">
        <v>58</v>
      </c>
      <c r="AO12" t="s">
        <v>103</v>
      </c>
      <c r="AP12" s="19"/>
    </row>
    <row r="13" spans="1:42" ht="14.45" customHeight="1" x14ac:dyDescent="0.25">
      <c r="C13" s="78" t="s">
        <v>125</v>
      </c>
      <c r="D13" s="78"/>
      <c r="E13" s="78"/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78"/>
      <c r="AB13" s="201"/>
      <c r="AC13" s="201"/>
      <c r="AD13" s="201"/>
      <c r="AE13" s="201"/>
      <c r="AF13" s="201"/>
      <c r="AG13" s="201"/>
      <c r="AH13" s="201"/>
      <c r="AI13" s="201"/>
      <c r="AM13" s="73" t="s">
        <v>106</v>
      </c>
      <c r="AN13" s="73" t="s">
        <v>59</v>
      </c>
      <c r="AO13" t="s">
        <v>103</v>
      </c>
      <c r="AP13" s="19"/>
    </row>
    <row r="14" spans="1:42" x14ac:dyDescent="0.25">
      <c r="C14" s="10" t="s">
        <v>138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M14" s="73" t="s">
        <v>105</v>
      </c>
      <c r="AN14" s="73" t="s">
        <v>60</v>
      </c>
      <c r="AO14" t="s">
        <v>103</v>
      </c>
    </row>
    <row r="15" spans="1:42" x14ac:dyDescent="0.25">
      <c r="C15" s="10" t="s">
        <v>126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M15" s="73" t="s">
        <v>104</v>
      </c>
      <c r="AN15" s="73" t="s">
        <v>54</v>
      </c>
      <c r="AO15" t="s">
        <v>103</v>
      </c>
    </row>
    <row r="16" spans="1:42" x14ac:dyDescent="0.25">
      <c r="C16" s="10" t="s">
        <v>127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M16" s="73" t="s">
        <v>77</v>
      </c>
      <c r="AN16" s="73" t="s">
        <v>78</v>
      </c>
      <c r="AO16" t="s">
        <v>102</v>
      </c>
    </row>
    <row r="17" spans="3:41" x14ac:dyDescent="0.25">
      <c r="C17" s="204"/>
      <c r="D17" s="204"/>
      <c r="E17" s="204"/>
      <c r="F17" s="204"/>
      <c r="G17" s="204"/>
      <c r="H17" s="204"/>
      <c r="I17" s="204"/>
      <c r="J17" s="204"/>
      <c r="K17" s="204"/>
      <c r="L17" s="204"/>
      <c r="M17" s="204"/>
      <c r="N17" s="204"/>
      <c r="O17" s="204"/>
      <c r="P17" s="204"/>
      <c r="Q17" s="204"/>
      <c r="R17" s="204"/>
      <c r="S17" s="204"/>
      <c r="T17" s="204"/>
      <c r="U17" s="204"/>
      <c r="V17" s="204"/>
      <c r="W17" s="204"/>
      <c r="X17" s="204"/>
      <c r="Y17" s="204"/>
      <c r="Z17" s="204"/>
      <c r="AA17" s="204"/>
      <c r="AB17" s="204"/>
      <c r="AC17" s="204"/>
      <c r="AD17" s="204"/>
      <c r="AE17" s="204"/>
      <c r="AF17" s="204"/>
      <c r="AG17" s="204"/>
      <c r="AH17" s="204"/>
      <c r="AI17" s="204"/>
      <c r="AM17" s="73" t="s">
        <v>83</v>
      </c>
      <c r="AN17" s="73" t="s">
        <v>79</v>
      </c>
      <c r="AO17" t="s">
        <v>101</v>
      </c>
    </row>
    <row r="18" spans="3:41" x14ac:dyDescent="0.25">
      <c r="C18" s="10" t="s">
        <v>142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202" t="s">
        <v>139</v>
      </c>
      <c r="Y18" s="202"/>
      <c r="Z18" s="199" t="s">
        <v>24</v>
      </c>
      <c r="AA18" s="199"/>
      <c r="AB18" s="10"/>
      <c r="AC18" s="10"/>
      <c r="AD18" s="10"/>
      <c r="AE18" s="10"/>
      <c r="AF18" s="10"/>
      <c r="AG18" s="10"/>
      <c r="AH18" s="10"/>
      <c r="AI18" s="10"/>
      <c r="AM18" s="73" t="s">
        <v>82</v>
      </c>
      <c r="AN18" s="73" t="s">
        <v>84</v>
      </c>
      <c r="AO18" t="s">
        <v>100</v>
      </c>
    </row>
    <row r="19" spans="3:41" x14ac:dyDescent="0.25">
      <c r="C19" s="199" t="s">
        <v>129</v>
      </c>
      <c r="D19" s="199"/>
      <c r="E19" s="199"/>
      <c r="F19" s="199"/>
      <c r="G19" s="199"/>
      <c r="H19" s="199"/>
      <c r="I19" s="199"/>
      <c r="J19" s="199"/>
      <c r="K19" s="199"/>
      <c r="L19" s="199"/>
      <c r="M19" s="199"/>
      <c r="N19" s="199"/>
      <c r="O19" s="199"/>
      <c r="AM19" s="73" t="s">
        <v>80</v>
      </c>
      <c r="AN19" s="73" t="s">
        <v>65</v>
      </c>
      <c r="AO19" t="s">
        <v>99</v>
      </c>
    </row>
    <row r="20" spans="3:41" x14ac:dyDescent="0.25">
      <c r="C20" s="10" t="s">
        <v>141</v>
      </c>
      <c r="D20" s="10"/>
      <c r="E20" s="10"/>
      <c r="F20" s="10"/>
      <c r="G20" s="10"/>
      <c r="H20" s="10"/>
      <c r="I20" s="10"/>
      <c r="J20" s="10"/>
      <c r="K20" s="10"/>
      <c r="L20" s="10"/>
      <c r="M20" s="202" t="s">
        <v>145</v>
      </c>
      <c r="N20" s="203"/>
      <c r="O20" s="199" t="s">
        <v>140</v>
      </c>
      <c r="P20" s="199"/>
      <c r="Q20" s="199"/>
      <c r="R20" s="199"/>
      <c r="S20" s="10"/>
      <c r="T20" s="10"/>
      <c r="U20" s="10"/>
      <c r="V20" s="10"/>
      <c r="W20" s="10"/>
      <c r="X20" s="10"/>
      <c r="Y20" s="10"/>
      <c r="AM20" s="73" t="s">
        <v>66</v>
      </c>
      <c r="AN20" s="73" t="s">
        <v>67</v>
      </c>
      <c r="AO20" t="s">
        <v>98</v>
      </c>
    </row>
    <row r="21" spans="3:41" x14ac:dyDescent="0.25">
      <c r="C21" s="10" t="s">
        <v>130</v>
      </c>
      <c r="D21" s="10"/>
      <c r="E21" s="10"/>
      <c r="F21" s="10"/>
      <c r="G21" s="10"/>
      <c r="H21" s="10"/>
      <c r="I21" s="10"/>
      <c r="J21" s="10"/>
      <c r="K21" s="202" t="s">
        <v>144</v>
      </c>
      <c r="L21" s="203"/>
      <c r="M21" s="203"/>
      <c r="N21" s="199" t="s">
        <v>143</v>
      </c>
      <c r="O21" s="199"/>
      <c r="P21" s="199"/>
      <c r="Q21" s="199"/>
      <c r="R21" s="199"/>
      <c r="S21" s="199"/>
      <c r="T21" s="10"/>
      <c r="AM21" s="73" t="s">
        <v>68</v>
      </c>
      <c r="AN21" s="73" t="s">
        <v>69</v>
      </c>
      <c r="AO21" t="s">
        <v>121</v>
      </c>
    </row>
    <row r="23" spans="3:41" x14ac:dyDescent="0.25">
      <c r="C23" s="199" t="s">
        <v>25</v>
      </c>
      <c r="D23" s="199"/>
      <c r="E23" s="199"/>
      <c r="F23" s="199"/>
      <c r="G23" s="199"/>
      <c r="H23" s="199"/>
      <c r="I23" s="199"/>
    </row>
    <row r="24" spans="3:41" x14ac:dyDescent="0.25">
      <c r="C24" s="10" t="s">
        <v>131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</row>
    <row r="25" spans="3:41" x14ac:dyDescent="0.25">
      <c r="D25" s="200" t="s">
        <v>132</v>
      </c>
      <c r="E25" s="199"/>
      <c r="F25" s="199"/>
      <c r="G25" s="199"/>
      <c r="H25" s="199"/>
      <c r="I25" s="199"/>
      <c r="J25" s="199"/>
      <c r="K25" s="199"/>
    </row>
    <row r="27" spans="3:41" x14ac:dyDescent="0.25">
      <c r="C27" s="199" t="s">
        <v>133</v>
      </c>
      <c r="D27" s="199"/>
      <c r="E27" s="199"/>
      <c r="F27" s="199"/>
      <c r="G27" s="199"/>
      <c r="H27" s="199"/>
      <c r="I27" s="199"/>
      <c r="J27" s="199"/>
      <c r="K27" s="199"/>
      <c r="L27" s="199"/>
      <c r="M27" s="199"/>
      <c r="N27" s="199"/>
    </row>
    <row r="28" spans="3:41" x14ac:dyDescent="0.25">
      <c r="C28" s="10" t="s">
        <v>134</v>
      </c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30" spans="3:41" x14ac:dyDescent="0.25">
      <c r="C30" s="10" t="s">
        <v>135</v>
      </c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</row>
    <row r="31" spans="3:41" x14ac:dyDescent="0.25">
      <c r="C31" s="10" t="s">
        <v>136</v>
      </c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</row>
    <row r="32" spans="3:41" x14ac:dyDescent="0.25">
      <c r="D32" s="200" t="s">
        <v>132</v>
      </c>
      <c r="E32" s="199"/>
      <c r="F32" s="199"/>
      <c r="G32" s="199"/>
      <c r="H32" s="199"/>
      <c r="I32" s="199"/>
      <c r="J32" s="199"/>
      <c r="K32" s="199"/>
      <c r="L32" s="199"/>
    </row>
  </sheetData>
  <sheetProtection formatCells="0" formatColumns="0" formatRows="0" sort="0" autoFilter="0" pivotTables="0"/>
  <protectedRanges>
    <protectedRange sqref="C16" name="Диапазон10"/>
    <protectedRange sqref="C13" name="Диапазон1"/>
    <protectedRange sqref="C14" name="Диапазон2"/>
    <protectedRange sqref="X18" name="Диапазон3"/>
    <protectedRange sqref="M20" name="Диапазон4"/>
    <protectedRange sqref="K21" name="Диапазон5"/>
    <protectedRange sqref="C24:AG24" name="Диапазон6"/>
    <protectedRange sqref="C31:AF31" name="Диапазон7"/>
    <protectedRange sqref="O11" name="Диапазон8"/>
    <protectedRange sqref="X3:AI6" name="Диапазон9"/>
  </protectedRanges>
  <mergeCells count="18">
    <mergeCell ref="C27:N27"/>
    <mergeCell ref="D32:L32"/>
    <mergeCell ref="C23:I23"/>
    <mergeCell ref="D25:K25"/>
    <mergeCell ref="AB13:AI13"/>
    <mergeCell ref="C19:O19"/>
    <mergeCell ref="X18:Y18"/>
    <mergeCell ref="Z18:AA18"/>
    <mergeCell ref="M20:N20"/>
    <mergeCell ref="O20:R20"/>
    <mergeCell ref="K21:M21"/>
    <mergeCell ref="N21:S21"/>
    <mergeCell ref="C17:AI17"/>
    <mergeCell ref="O11:AA11"/>
    <mergeCell ref="Y4:AI4"/>
    <mergeCell ref="X5:AI5"/>
    <mergeCell ref="A8:AJ8"/>
    <mergeCell ref="C10:AI10"/>
  </mergeCells>
  <dataValidations count="2">
    <dataValidation type="list" allowBlank="1" showInputMessage="1" showErrorMessage="1" sqref="O11:AA11">
      <formula1>$AN$5:$AN$21</formula1>
    </dataValidation>
    <dataValidation type="list" allowBlank="1" showInputMessage="1" showErrorMessage="1" sqref="AB11:AC11">
      <formula1>составляет</formula1>
    </dataValidation>
  </dataValidations>
  <pageMargins left="0.25" right="0.25" top="0.75" bottom="0.75" header="0.3" footer="0.3"/>
  <pageSetup paperSize="9" scale="97" orientation="portrait" r:id="rId1"/>
  <headerFooter>
    <oddFooter>&amp;L&amp;8Шаблон П-С-15 v.2.2.2 МГ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7</vt:i4>
      </vt:variant>
    </vt:vector>
  </HeadingPairs>
  <TitlesOfParts>
    <vt:vector size="12" baseType="lpstr">
      <vt:lpstr>ПЛ-ТК</vt:lpstr>
      <vt:lpstr>СЗ-ТК</vt:lpstr>
      <vt:lpstr>Отчет по ТК </vt:lpstr>
      <vt:lpstr>Список проектов</vt:lpstr>
      <vt:lpstr>СЗ-Нал</vt:lpstr>
      <vt:lpstr>'СЗ-ТК'!№10_Ю_82_2018_0172_АТ_СРВ_от_27.02.2018</vt:lpstr>
      <vt:lpstr>'ПЛ-ТК'!Область_печати</vt:lpstr>
      <vt:lpstr>'СЗ-Нал'!Область_печати</vt:lpstr>
      <vt:lpstr>'СЗ-ТК'!Область_печати</vt:lpstr>
      <vt:lpstr>Проект</vt:lpstr>
      <vt:lpstr>'СЗ-Нал'!составляет</vt:lpstr>
      <vt:lpstr>Топливо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Миронов Андрей</dc:creator>
  <cp:lastModifiedBy>Миронов Андрей</cp:lastModifiedBy>
  <cp:lastPrinted>2025-12-18T08:42:05Z</cp:lastPrinted>
  <dcterms:created xsi:type="dcterms:W3CDTF">2016-06-14T11:19:19Z</dcterms:created>
  <dcterms:modified xsi:type="dcterms:W3CDTF">2025-12-30T09:12:52Z</dcterms:modified>
</cp:coreProperties>
</file>